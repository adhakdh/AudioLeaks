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sflhe\Desktop\AudioLeaks\匿名github\ExperimentalResults\"/>
    </mc:Choice>
  </mc:AlternateContent>
  <xr:revisionPtr revIDLastSave="0" documentId="13_ncr:1_{5FBF3B64-40A6-486A-B3C3-D138272663E7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S1" sheetId="2" r:id="rId1"/>
    <sheet name="S2" sheetId="7" r:id="rId2"/>
    <sheet name="S3" sheetId="9" r:id="rId3"/>
    <sheet name="8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5" l="1"/>
  <c r="J57" i="15"/>
  <c r="J58" i="15"/>
  <c r="J59" i="15"/>
  <c r="J60" i="15"/>
  <c r="J56" i="15"/>
  <c r="J55" i="15"/>
  <c r="J61" i="15" s="1"/>
  <c r="J38" i="15"/>
  <c r="J37" i="15"/>
  <c r="J36" i="15"/>
  <c r="J35" i="15"/>
  <c r="J34" i="15"/>
  <c r="J25" i="15"/>
  <c r="J24" i="15"/>
  <c r="J23" i="15"/>
  <c r="J12" i="15"/>
  <c r="J11" i="15"/>
  <c r="J10" i="15"/>
  <c r="J9" i="15"/>
  <c r="D6" i="15"/>
  <c r="N109" i="15" l="1"/>
  <c r="N108" i="15"/>
  <c r="N107" i="15"/>
  <c r="N106" i="15"/>
</calcChain>
</file>

<file path=xl/sharedStrings.xml><?xml version="1.0" encoding="utf-8"?>
<sst xmlns="http://schemas.openxmlformats.org/spreadsheetml/2006/main" count="236" uniqueCount="91">
  <si>
    <t>VRChat</t>
  </si>
  <si>
    <t>Roblox</t>
  </si>
  <si>
    <t>UG</t>
  </si>
  <si>
    <t>bwah</t>
  </si>
  <si>
    <t>warofwizards</t>
  </si>
  <si>
    <t>roblox</t>
  </si>
  <si>
    <t>precision</t>
  </si>
  <si>
    <t>recall</t>
  </si>
  <si>
    <t>f1-score</t>
  </si>
  <si>
    <t>support</t>
  </si>
  <si>
    <t>aimXR</t>
  </si>
  <si>
    <t>bigscary</t>
  </si>
  <si>
    <t>downshot</t>
  </si>
  <si>
    <t>gymclass</t>
  </si>
  <si>
    <t>recroom</t>
  </si>
  <si>
    <t>vrchat</t>
  </si>
  <si>
    <t>vrfsfootball</t>
  </si>
  <si>
    <t>accuracy</t>
  </si>
  <si>
    <t>macro</t>
  </si>
  <si>
    <t>avg</t>
  </si>
  <si>
    <t>weighted</t>
  </si>
  <si>
    <t>Full_Body</t>
  </si>
  <si>
    <t>Upper_Body</t>
  </si>
  <si>
    <t>ASimpleFishingWorld</t>
  </si>
  <si>
    <t>AmongUsGame</t>
  </si>
  <si>
    <t>CuddleMel</t>
  </si>
  <si>
    <t>DrinkingNight</t>
  </si>
  <si>
    <t>FurryHideout</t>
  </si>
  <si>
    <t>McDonalds</t>
  </si>
  <si>
    <t>MoonlitLodge</t>
  </si>
  <si>
    <t>NorthburyNeighborhood</t>
  </si>
  <si>
    <t>TheBasementBetweenYear</t>
  </si>
  <si>
    <t>VoidSpace</t>
  </si>
  <si>
    <t>Office</t>
  </si>
  <si>
    <t>Animal_company</t>
  </si>
  <si>
    <t>Beat_saber</t>
  </si>
  <si>
    <t>Blade_Sorcery</t>
  </si>
  <si>
    <t>Gorilla_Tag</t>
  </si>
  <si>
    <t>Rec_Room</t>
  </si>
  <si>
    <t>Scary_Baboon</t>
  </si>
  <si>
    <t>VRFS</t>
  </si>
  <si>
    <t>MQ2</t>
  </si>
  <si>
    <t>MQ3</t>
  </si>
  <si>
    <t>PICO4</t>
  </si>
  <si>
    <t>VIVE2</t>
  </si>
  <si>
    <t>55dB</t>
  </si>
  <si>
    <t>Head_Only</t>
  </si>
  <si>
    <t>Cafe</t>
  </si>
  <si>
    <t>Cafeteria</t>
  </si>
  <si>
    <t>Living</t>
  </si>
  <si>
    <t>Metro</t>
  </si>
  <si>
    <t>Park</t>
  </si>
  <si>
    <t>(1) Impact of Ambient Noise</t>
  </si>
  <si>
    <t>(3) Impact of User Movement</t>
  </si>
  <si>
    <t>(4) Impact of Different Users</t>
  </si>
  <si>
    <t>[[44  0  1  0  0  0  0  0  0  0]
 [ 0 35  1  0  0  0  0  0  0  0]
 [ 0  0 39  0  0  0  1  0  1  0]
 [ 1  0  2 40  0  0  0  1  0  2]
 [ 0  0  0  1 45  0  0  0  0  0]
 [ 0  0  0  0  0 34  0  2  0  0]
 [ 0  0  0  0  0  0 37  0  0  0]
 [ 0  0  0  0  1  0  0 34  0  0]
 [ 0  0  0  0  0  0  0  0 38  0]
 [ 0  0  0  1  0  0  0  0  0 47]]</t>
  </si>
  <si>
    <t>6.1 Virtual Spaces</t>
  </si>
  <si>
    <t>5.1 Application Identity</t>
  </si>
  <si>
    <t>6.2 Physical Spaces</t>
  </si>
  <si>
    <t>Pcio4</t>
  </si>
  <si>
    <t>VIVE Pro2</t>
  </si>
  <si>
    <t>8.2 Generality</t>
  </si>
  <si>
    <t>8.1 Impacts</t>
  </si>
  <si>
    <t>(2) Impact of Playback Volume</t>
  </si>
  <si>
    <t>[[46  0  0  0  0  0  0  0  0  0]
 [ 0 51  0  0  0  0  0  2  0  0]
 [ 0  0 49  0  0  0  0  0  0  1]
 [ 0  0  0 48  0  0  0  0  0  0]
 [ 2  0  0  0 32  0  0  0  2  1]
 [ 0  0  0  0  0 54  0  0  0  0]
 [ 0  0  0  0  0  0 46  0  0  0]
 [ 0  1  0  0  0  0  0 45  0  0]
 [ 0  0  0  0  1  2  0  0 44  0]
 [ 0  0  2  0  1  0  0  1  1 43]]</t>
  </si>
  <si>
    <t>Booth</t>
  </si>
  <si>
    <t>[[46  0  0  0  0  0  2]
 [ 0 48  0  0  0  0  0]
 [ 0  6 40  1  0  0  0]
 [ 0  1  0 42  3  1  0]
 [ 0  0  0  0 46  1  1]
 [ 0  0  0  0  0 45  2]
 [ 0  0  0  0  1  9 38]]</t>
  </si>
  <si>
    <t>[[45  0  0  0  0  0  0  2  0  0]
 [ 0 45  0  0  0  0  0  0  0  1]
 [ 0  3 41  0  0  0  2  0  0  1]
 [ 0  0  0 47  0  0  0  0  0  0]
 [ 0  0  0  0 42  1  0  3  0  1]
 [ 0  0  0  2  2 43  0  0  0  0]
 [ 0  0  0  0  0  0 46  0  0  0]
 [ 0  1  0  0  0  0  0 41  1  3]
 [ 0  1  2  2  1  1  0  1 35  3]
 [ 1  0  1  0  0  0  6  3  0 36]]</t>
  </si>
  <si>
    <t>[[38  1  0  1  0  3  0  0  1  1]
 [ 1 44  0  0  0  0  0  0  0  0]
 [ 0  0 46  0  0  1  0  0  0  0]
 [ 0  0  0 44  0  0  3  0  0  1]
 [ 0  0  0  1 45  0  0  0  0  0]
 [ 0  0  1  0  0 37  0  1  0  5]
 [ 0  0  0  0  0  1 44  0  0  0]
 [ 0  0  0  0  1  0  1 44  0  0]
 [ 0  0  0  0  0 12  0  1 33  0]
 [ 0  0  1  1  0  0  0  0  0 46]]</t>
  </si>
  <si>
    <t>[[46  0  0  0  0  0  0  0  0  0]
 [ 0 35  0  0  0 11  0  0  0  1]
 [ 0  4 37  0  0  0  0  0  0  6]
 [ 0  0  0 39  0  1  0  0  1  0]
 [ 0  0  0  0 46  0  0  0  0  0]
 [ 0  0  0  0  0 43  0  0  0  0]
 [ 0  0  0  0  0  0 47  0  0  0]
 [ 0  0  0  0  0  0  0 47  0  0]
 [ 0  0  0  0  0  1  0  0 41  4]
 [ 0  0  0  0  1  0  0  0  6 42]]</t>
  </si>
  <si>
    <t>[[34  4  0  0  0  1  0  0  0  0]
 [ 1 47  0  0  0  0  0  0  0  0]
 [ 0  5 42  0  0  0  0  0  0  0]
 [ 0  0  0 47  0  0  0  0  0  0]
 [ 0  0  0  0 36  5  1  1  1  0]
 [ 0  0  0  0  0 40  0  1  1  2]
 [ 0  1  1  1  0  0 31  0  2  1]
 [ 0  0  0  1  0  1  0 44  1  0]
 [ 0  0  0  0  2  1  1  0 42  2]
 [ 0  0  0  0  0  0  4  0  1 44]]</t>
  </si>
  <si>
    <t>[[48  0  0  0  0  0  0  0  0  0]
 [ 0 47  0  0  1  0  0  0  0  0]
 [ 0  1 43  0  0  0  1  3  0  0]
 [ 0  1  0 47  0  0  0  0  0  0]
 [ 0  2  0  0 45  0  0  1  0  0]
 [ 0  0  0  0  0 46  1  0  0  1]
 [ 0  0  0  0  0  0 48  0  0  0]
 [ 0  0  0  0  3  1  0 44  0  0]
 [ 0  0  0  0  0  0  0  0 48  0]
 [ 0  0  0  0  0  0  0  1  0 47]]</t>
  </si>
  <si>
    <t>Label                           Top1       Top3       Top5      Total 
----------------------------------------------------------------------
1  aimXR                    0.9778     1.0000     1.0000         45   
2  bigscary                 0.9722     1.0000     1.0000         36
3  bwah                     0.9512     0.9756     0.9756         41
4  downshot                 0.8696     1.0000     1.0000         46
5  gymclass                 0.9783     1.0000     1.0000         46
6  recroom                  0.9444     1.0000     1.0000         36
7  roblox                   1.0000     1.0000     1.0000         37
8  vrchat                   0.9714     1.0000     1.0000         35
9  vrfsfootball             1.0000     1.0000     1.0000         38
10 warofwizards             0.9792     1.0000     1.0000         48
----------------------------------------------------------------------
MACRO-AVG                     0.9644     0.9976     0.9976          -
MICRO-AVG                     0.9632     0.9975     0.9975        408</t>
  </si>
  <si>
    <t>Label                           Top1       Top3       Top5      Total 
----------------------------------------------------------------------
1  Booth                    0.9583     1.0000     1.0000         48   
2  Cafe                     1.0000     1.0000     1.0000         48   
3  Cafeteria                0.8511     1.0000     1.0000         47   
4  Living                   0.8936     1.0000     1.0000         47   
5  Metro                    0.9583     1.0000     1.0000         48
6  Office                   0.9574     1.0000     1.0000         47
7  Park                     0.7917     1.0000     1.0000         48
----------------------------------------------------------------------
MACRO-AVG                     0.9158     1.0000     1.0000          -
MICRO-AVG                     0.9159     1.0000     1.0000        333</t>
  </si>
  <si>
    <t>MFCC+SVM</t>
  </si>
  <si>
    <t>[[38  0  3  0  0  0  0  0  0  4]
 [ 0 32  2  0  0  0  1  0  0  1]
 [ 4  1 26  1  1  0  2  0  1  5]
 [ 0  0  2 33  0  1  0  6  0  4]
 [ 0  0  0  1 38  2  0  3  1  1]
 [ 0  0  0  0  0 35  0  1  0  0]
 [ 0  5  0  1  0  0 31  0  0  0]
 [ 0  0  0  0  0  1  0 34  0  0]
 [ 0  0  0  0  0  0  0  0 38  0]
 [ 0  0  0  4  1  0  0  2  1 40]]</t>
  </si>
  <si>
    <t>Label                           Top1       Top3      Total
------------------------------------------------------------
1  aimXR                    0.8444     0.9556         45
2  bigscary                 0.8889     1.0000         36
3  bwah                     0.6341     0.9512         41
4  downshot                 0.7174     0.9783         46
5  gymclass                 0.8261     0.9565         46
6  recroom                  0.9722     1.0000         36
7  roblox                   0.8378     0.9459         37
8  vrchat                   0.9714     1.0000         35
9  vrfsfootball             1.0000     1.0000         38
10 warofwizards             0.8333     0.9792         48
------------------------------------------------------------
MACRO-AVG                     0.8526     0.9767          -
MICRO-AVG                     0.8456     0.9755        408</t>
  </si>
  <si>
    <t>Top1</t>
  </si>
  <si>
    <t>Top3</t>
  </si>
  <si>
    <t>[[45  0  2  0  0  1  0  0  0  0]
 [ 0 47  0  0  0  0  0  0  0  0]
 [ 1  0 45  1  0  0  0  0  0  0]
 [ 0  0  0 44  3  0  0  0  0  0]
 [ 0  0  0  0 46  1  0  0  0  0]
 [ 0  1  0  0  4 34  6  2  0  0]
 [ 1  0  0  0  0  0 46  0  0  0]
 [ 0  0  0  2  1  0  0 44  0  0]
 [ 0  1  0  0  0  1  0  0 45  0]
 [ 0  0  0  0  1  0  0  0  0 46]]</t>
  </si>
  <si>
    <t>Label                           Top1       Top3       Top5      Total
----------------------------------------------------------------------
1  1                        0.9375     1.0000     1.0000         48
2  10                       1.0000     1.0000     1.0000         47
3  2                        0.9574     1.0000     1.0000         47
4  3                        0.9362     0.9787     1.0000         47
5  4                        0.9787     1.0000     1.0000         47
6  5                        0.7234     0.9362     1.0000         47
7  6                        0.9787     1.0000     1.0000         47
8  7                        0.9362     1.0000     1.0000         47
9  8                        0.9574     0.9574     0.9574         47
10 9                        0.9787     1.0000     1.0000         47
----------------------------------------------------------------------
MACRO-AVG                     0.9384     0.9872     0.9957          -
MICRO-AVG                     0.9384     0.9873     0.9958        471</t>
  </si>
  <si>
    <t>Label                           Top1       Top3       Top5      Total
----------------------------------------------------------------------
1  1                        0.6154     0.9423     1.0000         52
2  10                       0.9138     0.9828     1.0000         58
3  2                        0.9831     1.0000     1.0000         59
4  3                        0.9483     1.0000     1.0000         58
5  4                        0.8704     0.9630     0.9815         54
6  5                        0.8448     0.9655     0.9828         58
7  6                        1.0000     1.0000     1.0000         58
8  7                        1.0000     1.0000     1.0000         58
9  8                        0.9153     0.9661     1.0000         59
10 9                        0.9828     1.0000     1.0000         58
----------------------------------------------------------------------
MACRO-AVG                     0.9074     0.9820     0.9964          -
MICRO-AVG                     0.9108     0.9825     0.9965        572</t>
  </si>
  <si>
    <t>5.2 Revealing In-Application State</t>
  </si>
  <si>
    <t>Attack 3: Inferring XR Virtual Meetings</t>
  </si>
  <si>
    <t>Label                           Top1       Top3       Top5      Total
----------------------------------------------------------------------
1  ASimpleFishingWorld      1.0000     1.0000     1.0000         46
2  AmongUsGame              0.9623     1.0000     1.0000         53
3  CuddleMel                0.9800     1.0000     1.0000         50
4  DrinkingNight            1.0000     1.0000     1.0000         48
5  FurryHideout             0.8649     1.0000     1.0000         37
6  McDonalds                1.0000     1.0000     1.0000         54
7  MoonlitLodge             1.0000     1.0000     1.0000         46
8  NorthburyNeighborhood     0.9783     1.0000     1.0000         46
9  TheBasementBetweenYear     0.9362     1.0000     1.0000         47
10 VoidSpace                0.8958     0.9792     1.0000         48
----------------------------------------------------------------------
MACRO-AVG                     0.9617     0.9979     1.0000          -
MICRO-AVG                     0.9642     0.9979     1.0000        475</t>
  </si>
  <si>
    <t>Label                           Top1       Top3       Top5      Total
----------------------------------------------------------------------
1  1                        1.0000     1.0000     1.0000         48
2  10                       0.9792     1.0000     1.0000         48
3  2                        0.8958     1.0000     1.0000         48
4  3                        0.9792     1.0000     1.0000         48
5  4                        0.9375     1.0000     1.0000         48
6  5                        0.9583     1.0000     1.0000         48
7  6                        1.0000     1.0000     1.0000         48
8  7                        0.9167     0.9792     0.9792         48
9  8                        1.0000     1.0000     1.0000         48
10 9                        0.9792     1.0000     1.0000         48
----------------------------------------------------------------------
MACRO-AVG                     0.9646     0.9979     0.9979          -
MICRO-AVG                     0.9646     0.9979     0.9979        480</t>
  </si>
  <si>
    <t>Top5</t>
  </si>
  <si>
    <t>Total</t>
  </si>
  <si>
    <t>Vrchat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</si>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</sst>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165" fontId="0" fillId="4" borderId="1" xfId="0" applyNumberFormat="1" applyFill="1" applyBorder="1" applyAlignment="1">
      <alignment vertical="center"/>
    </xf>
    <xf numFmtId="0" fontId="2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2">
    <cellStyle name="常规" xfId="0" builtinId="0"/>
    <cellStyle name="常规 2" xfId="1" xr:uid="{87CEFF07-3E40-4CA6-B0C2-63F9E30B2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CEF9-E01C-4BC9-B780-077EA90ABB1B}">
  <dimension ref="A1:R108"/>
  <sheetViews>
    <sheetView zoomScaleNormal="100" workbookViewId="0">
      <selection activeCell="I52" sqref="I52"/>
    </sheetView>
  </sheetViews>
  <sheetFormatPr defaultColWidth="8.85546875" defaultRowHeight="15"/>
  <cols>
    <col min="1" max="1" width="19.85546875" style="7" customWidth="1"/>
    <col min="2" max="2" width="11.42578125" style="6" customWidth="1"/>
    <col min="3" max="3" width="14.42578125" style="6" customWidth="1"/>
    <col min="4" max="4" width="10.85546875" style="6" customWidth="1"/>
    <col min="5" max="5" width="10.7109375" style="6" customWidth="1"/>
    <col min="6" max="6" width="11.140625" style="6" customWidth="1"/>
    <col min="7" max="11" width="8.85546875" style="6"/>
    <col min="12" max="12" width="12" style="6" bestFit="1" customWidth="1"/>
    <col min="13" max="16384" width="8.85546875" style="6"/>
  </cols>
  <sheetData>
    <row r="1" spans="1:18" ht="15" customHeight="1">
      <c r="A1" s="20" t="s">
        <v>57</v>
      </c>
      <c r="B1" s="5"/>
      <c r="C1" s="5" t="s">
        <v>6</v>
      </c>
      <c r="D1" s="5" t="s">
        <v>7</v>
      </c>
      <c r="E1" s="5" t="s">
        <v>8</v>
      </c>
      <c r="F1" s="5" t="s">
        <v>9</v>
      </c>
      <c r="H1" s="20" t="s">
        <v>55</v>
      </c>
      <c r="I1" s="20"/>
      <c r="J1" s="20"/>
      <c r="L1" s="20" t="s">
        <v>72</v>
      </c>
      <c r="M1" s="20"/>
      <c r="N1" s="20"/>
      <c r="O1" s="20"/>
      <c r="P1" s="20"/>
      <c r="Q1" s="20"/>
      <c r="R1" s="20"/>
    </row>
    <row r="2" spans="1:18">
      <c r="A2" s="20"/>
      <c r="B2" s="8" t="s">
        <v>10</v>
      </c>
      <c r="C2" s="8">
        <v>0.9778</v>
      </c>
      <c r="D2" s="8">
        <v>0.9778</v>
      </c>
      <c r="E2" s="8">
        <v>0.9778</v>
      </c>
      <c r="F2" s="8">
        <v>45</v>
      </c>
      <c r="H2" s="20"/>
      <c r="I2" s="20"/>
      <c r="J2" s="20"/>
      <c r="L2" s="20"/>
      <c r="M2" s="20"/>
      <c r="N2" s="20"/>
      <c r="O2" s="20"/>
      <c r="P2" s="20"/>
      <c r="Q2" s="20"/>
      <c r="R2" s="20"/>
    </row>
    <row r="3" spans="1:18">
      <c r="A3" s="20"/>
      <c r="B3" s="8" t="s">
        <v>11</v>
      </c>
      <c r="C3" s="8">
        <v>1</v>
      </c>
      <c r="D3" s="8">
        <v>0.97219999999999995</v>
      </c>
      <c r="E3" s="8">
        <v>0.9859</v>
      </c>
      <c r="F3" s="8">
        <v>36</v>
      </c>
      <c r="H3" s="20"/>
      <c r="I3" s="20"/>
      <c r="J3" s="20"/>
      <c r="L3" s="20"/>
      <c r="M3" s="20"/>
      <c r="N3" s="20"/>
      <c r="O3" s="20"/>
      <c r="P3" s="20"/>
      <c r="Q3" s="20"/>
      <c r="R3" s="20"/>
    </row>
    <row r="4" spans="1:18">
      <c r="A4" s="20"/>
      <c r="B4" s="8" t="s">
        <v>3</v>
      </c>
      <c r="C4" s="8">
        <v>0.90700000000000003</v>
      </c>
      <c r="D4" s="8">
        <v>0.95120000000000005</v>
      </c>
      <c r="E4" s="8">
        <v>0.92859999999999998</v>
      </c>
      <c r="F4" s="8">
        <v>41</v>
      </c>
      <c r="H4" s="20"/>
      <c r="I4" s="20"/>
      <c r="J4" s="20"/>
      <c r="L4" s="20"/>
      <c r="M4" s="20"/>
      <c r="N4" s="20"/>
      <c r="O4" s="20"/>
      <c r="P4" s="20"/>
      <c r="Q4" s="20"/>
      <c r="R4" s="20"/>
    </row>
    <row r="5" spans="1:18">
      <c r="A5" s="20"/>
      <c r="B5" s="8" t="s">
        <v>12</v>
      </c>
      <c r="C5" s="8">
        <v>0.95240000000000002</v>
      </c>
      <c r="D5" s="8">
        <v>0.86960000000000004</v>
      </c>
      <c r="E5" s="8">
        <v>0.90910000000000002</v>
      </c>
      <c r="F5" s="8">
        <v>46</v>
      </c>
      <c r="H5" s="20"/>
      <c r="I5" s="20"/>
      <c r="J5" s="20"/>
      <c r="L5" s="20"/>
      <c r="M5" s="20"/>
      <c r="N5" s="20"/>
      <c r="O5" s="20"/>
      <c r="P5" s="20"/>
      <c r="Q5" s="20"/>
      <c r="R5" s="20"/>
    </row>
    <row r="6" spans="1:18">
      <c r="A6" s="20"/>
      <c r="B6" s="8" t="s">
        <v>13</v>
      </c>
      <c r="C6" s="8">
        <v>0.97829999999999995</v>
      </c>
      <c r="D6" s="8">
        <v>0.97829999999999995</v>
      </c>
      <c r="E6" s="8">
        <v>0.97829999999999995</v>
      </c>
      <c r="F6" s="8">
        <v>46</v>
      </c>
      <c r="H6" s="20"/>
      <c r="I6" s="20"/>
      <c r="J6" s="20"/>
      <c r="L6" s="20"/>
      <c r="M6" s="20"/>
      <c r="N6" s="20"/>
      <c r="O6" s="20"/>
      <c r="P6" s="20"/>
      <c r="Q6" s="20"/>
      <c r="R6" s="20"/>
    </row>
    <row r="7" spans="1:18">
      <c r="A7" s="20"/>
      <c r="B7" s="8" t="s">
        <v>14</v>
      </c>
      <c r="C7" s="8">
        <v>1</v>
      </c>
      <c r="D7" s="8">
        <v>0.94440000000000002</v>
      </c>
      <c r="E7" s="8">
        <v>0.97140000000000004</v>
      </c>
      <c r="F7" s="8">
        <v>36</v>
      </c>
      <c r="H7" s="20"/>
      <c r="I7" s="20"/>
      <c r="J7" s="20"/>
      <c r="L7" s="20"/>
      <c r="M7" s="20"/>
      <c r="N7" s="20"/>
      <c r="O7" s="20"/>
      <c r="P7" s="20"/>
      <c r="Q7" s="20"/>
      <c r="R7" s="20"/>
    </row>
    <row r="8" spans="1:18">
      <c r="A8" s="20"/>
      <c r="B8" s="8" t="s">
        <v>5</v>
      </c>
      <c r="C8" s="8">
        <v>0.97370000000000001</v>
      </c>
      <c r="D8" s="8">
        <v>1</v>
      </c>
      <c r="E8" s="8">
        <v>0.98670000000000002</v>
      </c>
      <c r="F8" s="8">
        <v>37</v>
      </c>
      <c r="H8" s="20"/>
      <c r="I8" s="20"/>
      <c r="J8" s="20"/>
      <c r="L8" s="20"/>
      <c r="M8" s="20"/>
      <c r="N8" s="20"/>
      <c r="O8" s="20"/>
      <c r="P8" s="20"/>
      <c r="Q8" s="20"/>
      <c r="R8" s="20"/>
    </row>
    <row r="9" spans="1:18">
      <c r="A9" s="20"/>
      <c r="B9" s="8" t="s">
        <v>15</v>
      </c>
      <c r="C9" s="8">
        <v>0.91890000000000005</v>
      </c>
      <c r="D9" s="8">
        <v>0.97140000000000004</v>
      </c>
      <c r="E9" s="8">
        <v>0.94440000000000002</v>
      </c>
      <c r="F9" s="8">
        <v>35</v>
      </c>
      <c r="H9" s="20"/>
      <c r="I9" s="20"/>
      <c r="J9" s="20"/>
      <c r="L9" s="20"/>
      <c r="M9" s="20"/>
      <c r="N9" s="20"/>
      <c r="O9" s="20"/>
      <c r="P9" s="20"/>
      <c r="Q9" s="20"/>
      <c r="R9" s="20"/>
    </row>
    <row r="10" spans="1:18">
      <c r="A10" s="20"/>
      <c r="B10" s="8" t="s">
        <v>16</v>
      </c>
      <c r="C10" s="8">
        <v>0.97440000000000004</v>
      </c>
      <c r="D10" s="8">
        <v>1</v>
      </c>
      <c r="E10" s="8">
        <v>0.98699999999999999</v>
      </c>
      <c r="F10" s="8">
        <v>38</v>
      </c>
      <c r="H10" s="20"/>
      <c r="I10" s="20"/>
      <c r="J10" s="20"/>
      <c r="L10" s="20"/>
      <c r="M10" s="20"/>
      <c r="N10" s="20"/>
      <c r="O10" s="20"/>
      <c r="P10" s="20"/>
      <c r="Q10" s="20"/>
      <c r="R10" s="20"/>
    </row>
    <row r="11" spans="1:18">
      <c r="A11" s="20"/>
      <c r="B11" s="8" t="s">
        <v>4</v>
      </c>
      <c r="C11" s="8">
        <v>0.95920000000000005</v>
      </c>
      <c r="D11" s="8">
        <v>0.97919999999999996</v>
      </c>
      <c r="E11" s="8">
        <v>0.96909999999999996</v>
      </c>
      <c r="F11" s="8">
        <v>48</v>
      </c>
      <c r="H11" s="20"/>
      <c r="I11" s="20"/>
      <c r="J11" s="20"/>
      <c r="L11" s="20"/>
      <c r="M11" s="20"/>
      <c r="N11" s="20"/>
      <c r="O11" s="20"/>
      <c r="P11" s="20"/>
      <c r="Q11" s="20"/>
      <c r="R11" s="20"/>
    </row>
    <row r="12" spans="1:18">
      <c r="A12" s="20"/>
      <c r="B12" s="11"/>
      <c r="C12" s="8"/>
      <c r="D12" s="8"/>
      <c r="E12" s="8"/>
      <c r="F12" s="8"/>
      <c r="H12" s="20"/>
      <c r="I12" s="20"/>
      <c r="J12" s="20"/>
      <c r="L12" s="20"/>
      <c r="M12" s="20"/>
      <c r="N12" s="20"/>
      <c r="O12" s="20"/>
      <c r="P12" s="20"/>
      <c r="Q12" s="20"/>
      <c r="R12" s="20"/>
    </row>
    <row r="13" spans="1:18">
      <c r="A13" s="20"/>
      <c r="B13" s="8" t="s">
        <v>17</v>
      </c>
      <c r="C13" s="8"/>
      <c r="D13" s="8"/>
      <c r="E13" s="8">
        <v>0.96319999999999995</v>
      </c>
      <c r="F13" s="8">
        <v>408</v>
      </c>
      <c r="L13" s="20"/>
      <c r="M13" s="20"/>
      <c r="N13" s="20"/>
      <c r="O13" s="20"/>
      <c r="P13" s="20"/>
      <c r="Q13" s="20"/>
      <c r="R13" s="20"/>
    </row>
    <row r="14" spans="1:18">
      <c r="A14" s="20"/>
      <c r="B14" s="8" t="s">
        <v>18</v>
      </c>
      <c r="C14" s="8">
        <v>0.96419999999999995</v>
      </c>
      <c r="D14" s="8">
        <v>0.96440000000000003</v>
      </c>
      <c r="E14" s="8">
        <v>0.96379999999999999</v>
      </c>
      <c r="F14" s="8">
        <v>408</v>
      </c>
      <c r="L14" s="20"/>
      <c r="M14" s="20"/>
      <c r="N14" s="20"/>
      <c r="O14" s="20"/>
      <c r="P14" s="20"/>
      <c r="Q14" s="20"/>
      <c r="R14" s="20"/>
    </row>
    <row r="15" spans="1:18">
      <c r="A15" s="20"/>
      <c r="B15" s="8" t="s">
        <v>20</v>
      </c>
      <c r="C15" s="8">
        <v>0.96379999999999999</v>
      </c>
      <c r="D15" s="8">
        <v>0.96319999999999995</v>
      </c>
      <c r="E15" s="8">
        <v>0.96309999999999996</v>
      </c>
      <c r="F15" s="8">
        <v>408</v>
      </c>
    </row>
    <row r="17" spans="1:18">
      <c r="A17" s="20" t="s">
        <v>74</v>
      </c>
      <c r="B17" s="5"/>
      <c r="C17" s="5" t="s">
        <v>6</v>
      </c>
      <c r="D17" s="5" t="s">
        <v>7</v>
      </c>
      <c r="E17" s="5" t="s">
        <v>8</v>
      </c>
      <c r="F17" s="5" t="s">
        <v>9</v>
      </c>
      <c r="H17" s="20" t="s">
        <v>75</v>
      </c>
      <c r="I17" s="20"/>
      <c r="J17" s="20"/>
      <c r="L17" s="20" t="s">
        <v>76</v>
      </c>
      <c r="M17" s="20"/>
      <c r="N17" s="20"/>
      <c r="O17" s="20"/>
      <c r="P17" s="20"/>
      <c r="Q17" s="20"/>
      <c r="R17" s="20"/>
    </row>
    <row r="18" spans="1:18">
      <c r="A18" s="20"/>
      <c r="B18" s="8" t="s">
        <v>10</v>
      </c>
      <c r="C18" s="8">
        <v>0.90480000000000005</v>
      </c>
      <c r="D18" s="8">
        <v>0.84440000000000004</v>
      </c>
      <c r="E18" s="8">
        <v>0.87360000000000004</v>
      </c>
      <c r="F18" s="8">
        <v>45</v>
      </c>
      <c r="H18" s="20"/>
      <c r="I18" s="20"/>
      <c r="J18" s="20"/>
      <c r="L18" s="20"/>
      <c r="M18" s="20"/>
      <c r="N18" s="20"/>
      <c r="O18" s="20"/>
      <c r="P18" s="20"/>
      <c r="Q18" s="20"/>
      <c r="R18" s="20"/>
    </row>
    <row r="19" spans="1:18">
      <c r="A19" s="20"/>
      <c r="B19" s="8" t="s">
        <v>11</v>
      </c>
      <c r="C19" s="8">
        <v>0.84209999999999996</v>
      </c>
      <c r="D19" s="8">
        <v>0.88890000000000002</v>
      </c>
      <c r="E19" s="8">
        <v>0.8649</v>
      </c>
      <c r="F19" s="8">
        <v>36</v>
      </c>
      <c r="H19" s="20"/>
      <c r="I19" s="20"/>
      <c r="J19" s="20"/>
      <c r="L19" s="20"/>
      <c r="M19" s="20"/>
      <c r="N19" s="20"/>
      <c r="O19" s="20"/>
      <c r="P19" s="20"/>
      <c r="Q19" s="20"/>
      <c r="R19" s="20"/>
    </row>
    <row r="20" spans="1:18">
      <c r="A20" s="20"/>
      <c r="B20" s="8" t="s">
        <v>3</v>
      </c>
      <c r="C20" s="8">
        <v>0.78790000000000004</v>
      </c>
      <c r="D20" s="8">
        <v>0.6341</v>
      </c>
      <c r="E20" s="8">
        <v>0.70269999999999999</v>
      </c>
      <c r="F20" s="8">
        <v>41</v>
      </c>
      <c r="H20" s="20"/>
      <c r="I20" s="20"/>
      <c r="J20" s="20"/>
      <c r="L20" s="20"/>
      <c r="M20" s="20"/>
      <c r="N20" s="20"/>
      <c r="O20" s="20"/>
      <c r="P20" s="20"/>
      <c r="Q20" s="20"/>
      <c r="R20" s="20"/>
    </row>
    <row r="21" spans="1:18">
      <c r="A21" s="20"/>
      <c r="B21" s="8" t="s">
        <v>12</v>
      </c>
      <c r="C21" s="8">
        <v>0.82499999999999996</v>
      </c>
      <c r="D21" s="8">
        <v>0.71740000000000004</v>
      </c>
      <c r="E21" s="8">
        <v>0.76739999999999997</v>
      </c>
      <c r="F21" s="8">
        <v>46</v>
      </c>
      <c r="H21" s="20"/>
      <c r="I21" s="20"/>
      <c r="J21" s="20"/>
      <c r="L21" s="20"/>
      <c r="M21" s="20"/>
      <c r="N21" s="20"/>
      <c r="O21" s="20"/>
      <c r="P21" s="20"/>
      <c r="Q21" s="20"/>
      <c r="R21" s="20"/>
    </row>
    <row r="22" spans="1:18">
      <c r="A22" s="20"/>
      <c r="B22" s="8" t="s">
        <v>13</v>
      </c>
      <c r="C22" s="8">
        <v>0.95</v>
      </c>
      <c r="D22" s="8">
        <v>0.82609999999999995</v>
      </c>
      <c r="E22" s="8">
        <v>0.88370000000000004</v>
      </c>
      <c r="F22" s="8">
        <v>46</v>
      </c>
      <c r="H22" s="20"/>
      <c r="I22" s="20"/>
      <c r="J22" s="20"/>
      <c r="L22" s="20"/>
      <c r="M22" s="20"/>
      <c r="N22" s="20"/>
      <c r="O22" s="20"/>
      <c r="P22" s="20"/>
      <c r="Q22" s="20"/>
      <c r="R22" s="20"/>
    </row>
    <row r="23" spans="1:18">
      <c r="A23" s="20"/>
      <c r="B23" s="8" t="s">
        <v>14</v>
      </c>
      <c r="C23" s="8">
        <v>0.89739999999999998</v>
      </c>
      <c r="D23" s="8">
        <v>0.97219999999999995</v>
      </c>
      <c r="E23" s="8">
        <v>0.93330000000000002</v>
      </c>
      <c r="F23" s="8">
        <v>36</v>
      </c>
      <c r="H23" s="20"/>
      <c r="I23" s="20"/>
      <c r="J23" s="20"/>
      <c r="L23" s="20"/>
      <c r="M23" s="20"/>
      <c r="N23" s="20"/>
      <c r="O23" s="20"/>
      <c r="P23" s="20"/>
      <c r="Q23" s="20"/>
      <c r="R23" s="20"/>
    </row>
    <row r="24" spans="1:18">
      <c r="A24" s="20"/>
      <c r="B24" s="8" t="s">
        <v>5</v>
      </c>
      <c r="C24" s="8">
        <v>0.91180000000000005</v>
      </c>
      <c r="D24" s="8">
        <v>0.83779999999999999</v>
      </c>
      <c r="E24" s="8">
        <v>0.87319999999999998</v>
      </c>
      <c r="F24" s="8">
        <v>37</v>
      </c>
      <c r="H24" s="20"/>
      <c r="I24" s="20"/>
      <c r="J24" s="20"/>
      <c r="L24" s="20"/>
      <c r="M24" s="20"/>
      <c r="N24" s="20"/>
      <c r="O24" s="20"/>
      <c r="P24" s="20"/>
      <c r="Q24" s="20"/>
      <c r="R24" s="20"/>
    </row>
    <row r="25" spans="1:18">
      <c r="A25" s="20"/>
      <c r="B25" s="8" t="s">
        <v>15</v>
      </c>
      <c r="C25" s="8">
        <v>0.73909999999999998</v>
      </c>
      <c r="D25" s="8">
        <v>0.97140000000000004</v>
      </c>
      <c r="E25" s="8">
        <v>0.83950000000000002</v>
      </c>
      <c r="F25" s="8">
        <v>35</v>
      </c>
      <c r="H25" s="20"/>
      <c r="I25" s="20"/>
      <c r="J25" s="20"/>
      <c r="L25" s="20"/>
      <c r="M25" s="20"/>
      <c r="N25" s="20"/>
      <c r="O25" s="20"/>
      <c r="P25" s="20"/>
      <c r="Q25" s="20"/>
      <c r="R25" s="20"/>
    </row>
    <row r="26" spans="1:18">
      <c r="A26" s="20"/>
      <c r="B26" s="8" t="s">
        <v>16</v>
      </c>
      <c r="C26" s="8">
        <v>0.92679999999999996</v>
      </c>
      <c r="D26" s="8">
        <v>1</v>
      </c>
      <c r="E26" s="8">
        <v>0.96199999999999997</v>
      </c>
      <c r="F26" s="8">
        <v>38</v>
      </c>
      <c r="H26" s="20"/>
      <c r="I26" s="20"/>
      <c r="J26" s="20"/>
      <c r="L26" s="20"/>
      <c r="M26" s="20"/>
      <c r="N26" s="20"/>
      <c r="O26" s="20"/>
      <c r="P26" s="20"/>
      <c r="Q26" s="20"/>
      <c r="R26" s="20"/>
    </row>
    <row r="27" spans="1:18">
      <c r="A27" s="20"/>
      <c r="B27" s="8" t="s">
        <v>4</v>
      </c>
      <c r="C27" s="8">
        <v>0.72729999999999995</v>
      </c>
      <c r="D27" s="8">
        <v>0.83330000000000004</v>
      </c>
      <c r="E27" s="8">
        <v>0.77669999999999995</v>
      </c>
      <c r="F27" s="8">
        <v>48</v>
      </c>
      <c r="H27" s="20"/>
      <c r="I27" s="20"/>
      <c r="J27" s="20"/>
      <c r="L27" s="20"/>
      <c r="M27" s="20"/>
      <c r="N27" s="20"/>
      <c r="O27" s="20"/>
      <c r="P27" s="20"/>
      <c r="Q27" s="20"/>
      <c r="R27" s="20"/>
    </row>
    <row r="28" spans="1:18">
      <c r="A28" s="20"/>
      <c r="B28" s="11"/>
      <c r="C28" s="8"/>
      <c r="D28" s="8"/>
      <c r="E28" s="8"/>
      <c r="F28" s="8"/>
      <c r="H28" s="20"/>
      <c r="I28" s="20"/>
      <c r="J28" s="20"/>
      <c r="L28" s="20"/>
      <c r="M28" s="20"/>
      <c r="N28" s="20"/>
      <c r="O28" s="20"/>
      <c r="P28" s="20"/>
      <c r="Q28" s="20"/>
      <c r="R28" s="20"/>
    </row>
    <row r="29" spans="1:18">
      <c r="A29" s="20"/>
      <c r="B29" s="8" t="s">
        <v>17</v>
      </c>
      <c r="C29" s="8"/>
      <c r="D29" s="8"/>
      <c r="E29" s="9">
        <v>0.84560000000000002</v>
      </c>
      <c r="F29" s="8">
        <v>408</v>
      </c>
      <c r="L29" s="20"/>
      <c r="M29" s="20"/>
      <c r="N29" s="20"/>
      <c r="O29" s="20"/>
      <c r="P29" s="20"/>
      <c r="Q29" s="20"/>
      <c r="R29" s="20"/>
    </row>
    <row r="30" spans="1:18">
      <c r="A30" s="20"/>
      <c r="B30" s="8" t="s">
        <v>18</v>
      </c>
      <c r="C30" s="8">
        <v>0.85119999999999996</v>
      </c>
      <c r="D30" s="8">
        <v>0.85260000000000002</v>
      </c>
      <c r="E30" s="8">
        <v>0.84770000000000001</v>
      </c>
      <c r="F30" s="8">
        <v>408</v>
      </c>
      <c r="L30" s="20"/>
      <c r="M30" s="20"/>
      <c r="N30" s="20"/>
      <c r="O30" s="20"/>
      <c r="P30" s="20"/>
      <c r="Q30" s="20"/>
      <c r="R30" s="20"/>
    </row>
    <row r="31" spans="1:18">
      <c r="A31" s="20"/>
      <c r="B31" s="8" t="s">
        <v>20</v>
      </c>
      <c r="C31" s="8">
        <v>0.85050000000000003</v>
      </c>
      <c r="D31" s="8">
        <v>0.84560000000000002</v>
      </c>
      <c r="E31" s="8">
        <v>0.84399999999999997</v>
      </c>
      <c r="F31" s="8">
        <v>408</v>
      </c>
    </row>
    <row r="36" spans="1:18">
      <c r="A36" s="20" t="s">
        <v>82</v>
      </c>
      <c r="B36" s="4"/>
      <c r="C36" s="4" t="s">
        <v>6</v>
      </c>
      <c r="D36" s="4" t="s">
        <v>7</v>
      </c>
      <c r="E36" s="4" t="s">
        <v>8</v>
      </c>
      <c r="F36" s="4" t="s">
        <v>9</v>
      </c>
      <c r="G36"/>
      <c r="H36" s="22" t="s">
        <v>79</v>
      </c>
      <c r="I36" s="23"/>
      <c r="J36" s="24"/>
      <c r="L36" s="20" t="s">
        <v>80</v>
      </c>
      <c r="M36" s="21"/>
      <c r="N36" s="21"/>
      <c r="O36" s="21"/>
      <c r="P36" s="21"/>
      <c r="Q36" s="21"/>
      <c r="R36" s="21"/>
    </row>
    <row r="37" spans="1:18">
      <c r="A37" s="20"/>
      <c r="B37" s="3">
        <v>1</v>
      </c>
      <c r="C37" s="3">
        <v>0.95740000000000003</v>
      </c>
      <c r="D37" s="3">
        <v>0.9375</v>
      </c>
      <c r="E37" s="3">
        <v>0.94740000000000002</v>
      </c>
      <c r="F37" s="3">
        <v>48</v>
      </c>
      <c r="G37"/>
      <c r="H37" s="25"/>
      <c r="I37" s="26"/>
      <c r="J37" s="27"/>
      <c r="L37" s="21"/>
      <c r="M37" s="21"/>
      <c r="N37" s="21"/>
      <c r="O37" s="21"/>
      <c r="P37" s="21"/>
      <c r="Q37" s="21"/>
      <c r="R37" s="21"/>
    </row>
    <row r="38" spans="1:18">
      <c r="A38" s="20"/>
      <c r="B38" s="3">
        <v>10</v>
      </c>
      <c r="C38" s="3">
        <v>0.95920000000000005</v>
      </c>
      <c r="D38" s="3">
        <v>1</v>
      </c>
      <c r="E38" s="3">
        <v>0.97919999999999996</v>
      </c>
      <c r="F38" s="3">
        <v>47</v>
      </c>
      <c r="G38"/>
      <c r="H38" s="25"/>
      <c r="I38" s="26"/>
      <c r="J38" s="27"/>
      <c r="L38" s="21"/>
      <c r="M38" s="21"/>
      <c r="N38" s="21"/>
      <c r="O38" s="21"/>
      <c r="P38" s="21"/>
      <c r="Q38" s="21"/>
      <c r="R38" s="21"/>
    </row>
    <row r="39" spans="1:18">
      <c r="A39" s="20"/>
      <c r="B39" s="3">
        <v>2</v>
      </c>
      <c r="C39" s="3">
        <v>0.95740000000000003</v>
      </c>
      <c r="D39" s="3">
        <v>0.95740000000000003</v>
      </c>
      <c r="E39" s="3">
        <v>0.95740000000000003</v>
      </c>
      <c r="F39" s="3">
        <v>47</v>
      </c>
      <c r="G39"/>
      <c r="H39" s="25"/>
      <c r="I39" s="26"/>
      <c r="J39" s="27"/>
      <c r="L39" s="21"/>
      <c r="M39" s="21"/>
      <c r="N39" s="21"/>
      <c r="O39" s="21"/>
      <c r="P39" s="21"/>
      <c r="Q39" s="21"/>
      <c r="R39" s="21"/>
    </row>
    <row r="40" spans="1:18">
      <c r="A40" s="20"/>
      <c r="B40" s="3">
        <v>3</v>
      </c>
      <c r="C40" s="3">
        <v>0.93620000000000003</v>
      </c>
      <c r="D40" s="3">
        <v>0.93620000000000003</v>
      </c>
      <c r="E40" s="3">
        <v>0.93620000000000003</v>
      </c>
      <c r="F40" s="3">
        <v>47</v>
      </c>
      <c r="G40"/>
      <c r="H40" s="25"/>
      <c r="I40" s="26"/>
      <c r="J40" s="27"/>
      <c r="L40" s="21"/>
      <c r="M40" s="21"/>
      <c r="N40" s="21"/>
      <c r="O40" s="21"/>
      <c r="P40" s="21"/>
      <c r="Q40" s="21"/>
      <c r="R40" s="21"/>
    </row>
    <row r="41" spans="1:18">
      <c r="A41" s="20"/>
      <c r="B41" s="3">
        <v>4</v>
      </c>
      <c r="C41" s="3">
        <v>0.83640000000000003</v>
      </c>
      <c r="D41" s="3">
        <v>0.97870000000000001</v>
      </c>
      <c r="E41" s="3">
        <v>0.90200000000000002</v>
      </c>
      <c r="F41" s="3">
        <v>47</v>
      </c>
      <c r="G41"/>
      <c r="H41" s="25"/>
      <c r="I41" s="26"/>
      <c r="J41" s="27"/>
      <c r="L41" s="21"/>
      <c r="M41" s="21"/>
      <c r="N41" s="21"/>
      <c r="O41" s="21"/>
      <c r="P41" s="21"/>
      <c r="Q41" s="21"/>
      <c r="R41" s="21"/>
    </row>
    <row r="42" spans="1:18">
      <c r="A42" s="20"/>
      <c r="B42" s="3">
        <v>5</v>
      </c>
      <c r="C42" s="3">
        <v>0.91890000000000005</v>
      </c>
      <c r="D42" s="3">
        <v>0.72340000000000004</v>
      </c>
      <c r="E42" s="3">
        <v>0.8095</v>
      </c>
      <c r="F42" s="3">
        <v>47</v>
      </c>
      <c r="G42"/>
      <c r="H42" s="25"/>
      <c r="I42" s="26"/>
      <c r="J42" s="27"/>
      <c r="L42" s="21"/>
      <c r="M42" s="21"/>
      <c r="N42" s="21"/>
      <c r="O42" s="21"/>
      <c r="P42" s="21"/>
      <c r="Q42" s="21"/>
      <c r="R42" s="21"/>
    </row>
    <row r="43" spans="1:18">
      <c r="A43" s="20"/>
      <c r="B43" s="3">
        <v>6</v>
      </c>
      <c r="C43" s="3">
        <v>0.88460000000000005</v>
      </c>
      <c r="D43" s="3">
        <v>0.97870000000000001</v>
      </c>
      <c r="E43" s="3">
        <v>0.92930000000000001</v>
      </c>
      <c r="F43" s="3">
        <v>47</v>
      </c>
      <c r="G43"/>
      <c r="H43" s="25"/>
      <c r="I43" s="26"/>
      <c r="J43" s="27"/>
      <c r="L43" s="21"/>
      <c r="M43" s="21"/>
      <c r="N43" s="21"/>
      <c r="O43" s="21"/>
      <c r="P43" s="21"/>
      <c r="Q43" s="21"/>
      <c r="R43" s="21"/>
    </row>
    <row r="44" spans="1:18">
      <c r="A44" s="20"/>
      <c r="B44" s="3">
        <v>7</v>
      </c>
      <c r="C44" s="3">
        <v>0.95650000000000002</v>
      </c>
      <c r="D44" s="3">
        <v>0.93620000000000003</v>
      </c>
      <c r="E44" s="3">
        <v>0.94620000000000004</v>
      </c>
      <c r="F44" s="3">
        <v>47</v>
      </c>
      <c r="G44"/>
      <c r="H44" s="25"/>
      <c r="I44" s="26"/>
      <c r="J44" s="27"/>
      <c r="L44" s="21"/>
      <c r="M44" s="21"/>
      <c r="N44" s="21"/>
      <c r="O44" s="21"/>
      <c r="P44" s="21"/>
      <c r="Q44" s="21"/>
      <c r="R44" s="21"/>
    </row>
    <row r="45" spans="1:18">
      <c r="A45" s="20"/>
      <c r="B45" s="3">
        <v>8</v>
      </c>
      <c r="C45" s="3">
        <v>1</v>
      </c>
      <c r="D45" s="3">
        <v>0.95740000000000003</v>
      </c>
      <c r="E45" s="3">
        <v>0.97829999999999995</v>
      </c>
      <c r="F45" s="3">
        <v>47</v>
      </c>
      <c r="G45"/>
      <c r="H45" s="25"/>
      <c r="I45" s="26"/>
      <c r="J45" s="27"/>
      <c r="L45" s="21"/>
      <c r="M45" s="21"/>
      <c r="N45" s="21"/>
      <c r="O45" s="21"/>
      <c r="P45" s="21"/>
      <c r="Q45" s="21"/>
      <c r="R45" s="21"/>
    </row>
    <row r="46" spans="1:18">
      <c r="A46" s="20"/>
      <c r="B46" s="3">
        <v>9</v>
      </c>
      <c r="C46" s="3">
        <v>1</v>
      </c>
      <c r="D46" s="3">
        <v>0.97870000000000001</v>
      </c>
      <c r="E46" s="3">
        <v>0.98919999999999997</v>
      </c>
      <c r="F46" s="3">
        <v>47</v>
      </c>
      <c r="G46"/>
      <c r="H46" s="28"/>
      <c r="I46" s="29"/>
      <c r="J46" s="30"/>
      <c r="L46" s="21"/>
      <c r="M46" s="21"/>
      <c r="N46" s="21"/>
      <c r="O46" s="21"/>
      <c r="P46" s="21"/>
      <c r="Q46" s="21"/>
      <c r="R46" s="21"/>
    </row>
    <row r="47" spans="1:18">
      <c r="A47" s="20"/>
      <c r="B47" s="3"/>
      <c r="C47" s="3"/>
      <c r="D47" s="3"/>
      <c r="E47" s="3"/>
      <c r="F47" s="3"/>
      <c r="G47"/>
      <c r="H47"/>
      <c r="I47"/>
      <c r="J47"/>
      <c r="L47" s="21"/>
      <c r="M47" s="21"/>
      <c r="N47" s="21"/>
      <c r="O47" s="21"/>
      <c r="P47" s="21"/>
      <c r="Q47" s="21"/>
      <c r="R47" s="21"/>
    </row>
    <row r="48" spans="1:18">
      <c r="A48" s="20"/>
      <c r="B48" s="3" t="s">
        <v>17</v>
      </c>
      <c r="C48" s="3"/>
      <c r="D48" s="3"/>
      <c r="E48" s="18">
        <v>0.93840000000000001</v>
      </c>
      <c r="F48" s="3">
        <v>471</v>
      </c>
      <c r="G48"/>
      <c r="H48"/>
      <c r="I48"/>
      <c r="J48"/>
      <c r="L48" s="21"/>
      <c r="M48" s="21"/>
      <c r="N48" s="21"/>
      <c r="O48" s="21"/>
      <c r="P48" s="21"/>
      <c r="Q48" s="21"/>
      <c r="R48" s="21"/>
    </row>
    <row r="49" spans="1:18">
      <c r="A49" s="20"/>
      <c r="B49" s="3" t="s">
        <v>18</v>
      </c>
      <c r="C49" s="3">
        <v>0.94069999999999998</v>
      </c>
      <c r="D49" s="3">
        <v>0.93840000000000001</v>
      </c>
      <c r="E49" s="3">
        <v>0.9375</v>
      </c>
      <c r="F49" s="3">
        <v>471</v>
      </c>
      <c r="G49"/>
      <c r="H49"/>
      <c r="I49"/>
      <c r="J49"/>
      <c r="L49" s="21"/>
      <c r="M49" s="21"/>
      <c r="N49" s="21"/>
      <c r="O49" s="21"/>
      <c r="P49" s="21"/>
      <c r="Q49" s="21"/>
      <c r="R49" s="21"/>
    </row>
    <row r="50" spans="1:18">
      <c r="A50" s="20"/>
      <c r="B50" s="3" t="s">
        <v>20</v>
      </c>
      <c r="C50" s="3">
        <v>0.94069999999999998</v>
      </c>
      <c r="D50" s="3">
        <v>0.93840000000000001</v>
      </c>
      <c r="E50" s="3">
        <v>0.9375</v>
      </c>
      <c r="F50" s="3">
        <v>471</v>
      </c>
      <c r="G50"/>
      <c r="H50"/>
      <c r="I50"/>
      <c r="J50"/>
      <c r="L50" s="21"/>
      <c r="M50" s="21"/>
      <c r="N50" s="21"/>
      <c r="O50" s="21"/>
      <c r="P50" s="21"/>
      <c r="Q50" s="21"/>
      <c r="R50" s="21"/>
    </row>
    <row r="56" spans="1:18">
      <c r="A56" s="6"/>
    </row>
    <row r="57" spans="1:18">
      <c r="A57" s="6"/>
    </row>
    <row r="58" spans="1:18">
      <c r="A58" s="6"/>
    </row>
    <row r="59" spans="1:18">
      <c r="A59" s="6"/>
    </row>
    <row r="60" spans="1:18">
      <c r="A60" s="6"/>
    </row>
    <row r="61" spans="1:18">
      <c r="A61" s="6"/>
    </row>
    <row r="62" spans="1:18">
      <c r="A62" s="6"/>
    </row>
    <row r="63" spans="1:18">
      <c r="A63" s="6"/>
    </row>
    <row r="64" spans="1:18">
      <c r="A64" s="6"/>
    </row>
    <row r="65" spans="1:1">
      <c r="A65" s="6"/>
    </row>
    <row r="66" spans="1:1">
      <c r="A66" s="6"/>
    </row>
    <row r="108" ht="15" customHeight="1"/>
  </sheetData>
  <mergeCells count="9">
    <mergeCell ref="H1:J12"/>
    <mergeCell ref="A1:A15"/>
    <mergeCell ref="L1:R14"/>
    <mergeCell ref="L36:R50"/>
    <mergeCell ref="A17:A31"/>
    <mergeCell ref="H17:J28"/>
    <mergeCell ref="L17:R30"/>
    <mergeCell ref="A36:A50"/>
    <mergeCell ref="H36:J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A586-7E28-4EDB-8996-D78A2FA92D07}">
  <dimension ref="A1:R31"/>
  <sheetViews>
    <sheetView workbookViewId="0">
      <selection activeCell="C24" sqref="C24"/>
    </sheetView>
  </sheetViews>
  <sheetFormatPr defaultRowHeight="15"/>
  <cols>
    <col min="1" max="1" width="19.85546875" style="6" customWidth="1"/>
    <col min="2" max="2" width="14.42578125" customWidth="1"/>
    <col min="3" max="3" width="10.85546875" customWidth="1"/>
    <col min="4" max="4" width="10.7109375" customWidth="1"/>
    <col min="5" max="5" width="11.140625" customWidth="1"/>
    <col min="11" max="11" width="12" bestFit="1" customWidth="1"/>
  </cols>
  <sheetData>
    <row r="1" spans="1:18" ht="15" customHeight="1">
      <c r="A1" s="20" t="s">
        <v>56</v>
      </c>
      <c r="B1" s="4"/>
      <c r="C1" s="4" t="s">
        <v>6</v>
      </c>
      <c r="D1" s="4" t="s">
        <v>7</v>
      </c>
      <c r="E1" s="4" t="s">
        <v>8</v>
      </c>
      <c r="F1" s="4" t="s">
        <v>9</v>
      </c>
      <c r="H1" s="31" t="s">
        <v>64</v>
      </c>
      <c r="I1" s="31"/>
      <c r="J1" s="31"/>
      <c r="K1" s="1"/>
      <c r="L1" s="31" t="s">
        <v>84</v>
      </c>
      <c r="M1" s="32"/>
      <c r="N1" s="32"/>
      <c r="O1" s="32"/>
      <c r="P1" s="32"/>
      <c r="Q1" s="32"/>
      <c r="R1" s="32"/>
    </row>
    <row r="2" spans="1:18">
      <c r="A2" s="20"/>
      <c r="B2" s="3" t="s">
        <v>23</v>
      </c>
      <c r="C2" s="3">
        <v>0.95830000000000004</v>
      </c>
      <c r="D2" s="3">
        <v>1</v>
      </c>
      <c r="E2" s="3">
        <v>0.97870000000000001</v>
      </c>
      <c r="F2" s="3">
        <v>46</v>
      </c>
      <c r="H2" s="31"/>
      <c r="I2" s="31"/>
      <c r="J2" s="31"/>
      <c r="K2" s="1"/>
      <c r="L2" s="32"/>
      <c r="M2" s="32"/>
      <c r="N2" s="32"/>
      <c r="O2" s="32"/>
      <c r="P2" s="32"/>
      <c r="Q2" s="32"/>
      <c r="R2" s="32"/>
    </row>
    <row r="3" spans="1:18">
      <c r="A3" s="20"/>
      <c r="B3" s="3" t="s">
        <v>24</v>
      </c>
      <c r="C3" s="3">
        <v>0.98080000000000001</v>
      </c>
      <c r="D3" s="3">
        <v>0.96230000000000004</v>
      </c>
      <c r="E3" s="3">
        <v>0.97140000000000004</v>
      </c>
      <c r="F3" s="3">
        <v>53</v>
      </c>
      <c r="H3" s="31"/>
      <c r="I3" s="31"/>
      <c r="J3" s="31"/>
      <c r="K3" s="1"/>
      <c r="L3" s="32"/>
      <c r="M3" s="32"/>
      <c r="N3" s="32"/>
      <c r="O3" s="32"/>
      <c r="P3" s="32"/>
      <c r="Q3" s="32"/>
      <c r="R3" s="32"/>
    </row>
    <row r="4" spans="1:18">
      <c r="A4" s="20"/>
      <c r="B4" s="3" t="s">
        <v>25</v>
      </c>
      <c r="C4" s="3">
        <v>0.96079999999999999</v>
      </c>
      <c r="D4" s="3">
        <v>0.98</v>
      </c>
      <c r="E4" s="3">
        <v>0.97030000000000005</v>
      </c>
      <c r="F4" s="3">
        <v>50</v>
      </c>
      <c r="H4" s="31"/>
      <c r="I4" s="31"/>
      <c r="J4" s="31"/>
      <c r="K4" s="1"/>
      <c r="L4" s="32"/>
      <c r="M4" s="32"/>
      <c r="N4" s="32"/>
      <c r="O4" s="32"/>
      <c r="P4" s="32"/>
      <c r="Q4" s="32"/>
      <c r="R4" s="32"/>
    </row>
    <row r="5" spans="1:18">
      <c r="A5" s="20"/>
      <c r="B5" s="3" t="s">
        <v>26</v>
      </c>
      <c r="C5" s="3">
        <v>1</v>
      </c>
      <c r="D5" s="3">
        <v>1</v>
      </c>
      <c r="E5" s="3">
        <v>1</v>
      </c>
      <c r="F5" s="3">
        <v>48</v>
      </c>
      <c r="H5" s="31"/>
      <c r="I5" s="31"/>
      <c r="J5" s="31"/>
      <c r="K5" s="1"/>
      <c r="L5" s="32"/>
      <c r="M5" s="32"/>
      <c r="N5" s="32"/>
      <c r="O5" s="32"/>
      <c r="P5" s="32"/>
      <c r="Q5" s="32"/>
      <c r="R5" s="32"/>
    </row>
    <row r="6" spans="1:18">
      <c r="A6" s="20"/>
      <c r="B6" s="3" t="s">
        <v>27</v>
      </c>
      <c r="C6" s="3">
        <v>0.94120000000000004</v>
      </c>
      <c r="D6" s="3">
        <v>0.8649</v>
      </c>
      <c r="E6" s="3">
        <v>0.90139999999999998</v>
      </c>
      <c r="F6" s="3">
        <v>37</v>
      </c>
      <c r="H6" s="31"/>
      <c r="I6" s="31"/>
      <c r="J6" s="31"/>
      <c r="K6" s="1"/>
      <c r="L6" s="32"/>
      <c r="M6" s="32"/>
      <c r="N6" s="32"/>
      <c r="O6" s="32"/>
      <c r="P6" s="32"/>
      <c r="Q6" s="32"/>
      <c r="R6" s="32"/>
    </row>
    <row r="7" spans="1:18">
      <c r="A7" s="20"/>
      <c r="B7" s="3" t="s">
        <v>28</v>
      </c>
      <c r="C7" s="3">
        <v>0.96430000000000005</v>
      </c>
      <c r="D7" s="3">
        <v>1</v>
      </c>
      <c r="E7" s="3">
        <v>0.98180000000000001</v>
      </c>
      <c r="F7" s="3">
        <v>54</v>
      </c>
      <c r="H7" s="31"/>
      <c r="I7" s="31"/>
      <c r="J7" s="31"/>
      <c r="K7" s="1"/>
      <c r="L7" s="32"/>
      <c r="M7" s="32"/>
      <c r="N7" s="32"/>
      <c r="O7" s="32"/>
      <c r="P7" s="32"/>
      <c r="Q7" s="32"/>
      <c r="R7" s="32"/>
    </row>
    <row r="8" spans="1:18">
      <c r="A8" s="20"/>
      <c r="B8" s="3" t="s">
        <v>29</v>
      </c>
      <c r="C8" s="3">
        <v>1</v>
      </c>
      <c r="D8" s="3">
        <v>1</v>
      </c>
      <c r="E8" s="3">
        <v>1</v>
      </c>
      <c r="F8" s="3">
        <v>46</v>
      </c>
      <c r="H8" s="31"/>
      <c r="I8" s="31"/>
      <c r="J8" s="31"/>
      <c r="K8" s="1"/>
      <c r="L8" s="32"/>
      <c r="M8" s="32"/>
      <c r="N8" s="32"/>
      <c r="O8" s="32"/>
      <c r="P8" s="32"/>
      <c r="Q8" s="32"/>
      <c r="R8" s="32"/>
    </row>
    <row r="9" spans="1:18">
      <c r="A9" s="20"/>
      <c r="B9" s="3" t="s">
        <v>30</v>
      </c>
      <c r="C9" s="3">
        <v>0.9375</v>
      </c>
      <c r="D9" s="3">
        <v>0.97829999999999995</v>
      </c>
      <c r="E9" s="3">
        <v>0.95740000000000003</v>
      </c>
      <c r="F9" s="3">
        <v>46</v>
      </c>
      <c r="H9" s="31"/>
      <c r="I9" s="31"/>
      <c r="J9" s="31"/>
      <c r="L9" s="32"/>
      <c r="M9" s="32"/>
      <c r="N9" s="32"/>
      <c r="O9" s="32"/>
      <c r="P9" s="32"/>
      <c r="Q9" s="32"/>
      <c r="R9" s="32"/>
    </row>
    <row r="10" spans="1:18">
      <c r="A10" s="20"/>
      <c r="B10" s="3" t="s">
        <v>31</v>
      </c>
      <c r="C10" s="3">
        <v>0.93620000000000003</v>
      </c>
      <c r="D10" s="3">
        <v>0.93620000000000003</v>
      </c>
      <c r="E10" s="3">
        <v>0.93620000000000003</v>
      </c>
      <c r="F10" s="3">
        <v>47</v>
      </c>
      <c r="H10" s="31"/>
      <c r="I10" s="31"/>
      <c r="J10" s="31"/>
      <c r="K10" s="1"/>
      <c r="L10" s="32"/>
      <c r="M10" s="32"/>
      <c r="N10" s="32"/>
      <c r="O10" s="32"/>
      <c r="P10" s="32"/>
      <c r="Q10" s="32"/>
      <c r="R10" s="32"/>
    </row>
    <row r="11" spans="1:18">
      <c r="A11" s="20"/>
      <c r="B11" s="3" t="s">
        <v>32</v>
      </c>
      <c r="C11" s="3">
        <v>0.9556</v>
      </c>
      <c r="D11" s="3">
        <v>0.89580000000000004</v>
      </c>
      <c r="E11" s="3">
        <v>0.92469999999999997</v>
      </c>
      <c r="F11" s="3">
        <v>48</v>
      </c>
      <c r="H11" s="31"/>
      <c r="I11" s="31"/>
      <c r="J11" s="31"/>
      <c r="K11" s="2"/>
      <c r="L11" s="32"/>
      <c r="M11" s="32"/>
      <c r="N11" s="32"/>
      <c r="O11" s="32"/>
      <c r="P11" s="32"/>
      <c r="Q11" s="32"/>
      <c r="R11" s="32"/>
    </row>
    <row r="12" spans="1:18">
      <c r="A12" s="20"/>
      <c r="B12" s="3"/>
      <c r="C12" s="3"/>
      <c r="D12" s="3"/>
      <c r="E12" s="3"/>
      <c r="F12" s="3"/>
      <c r="H12" s="31"/>
      <c r="I12" s="31"/>
      <c r="J12" s="31"/>
      <c r="K12" s="2"/>
      <c r="L12" s="32"/>
      <c r="M12" s="32"/>
      <c r="N12" s="32"/>
      <c r="O12" s="32"/>
      <c r="P12" s="32"/>
      <c r="Q12" s="32"/>
      <c r="R12" s="32"/>
    </row>
    <row r="13" spans="1:18">
      <c r="A13" s="20"/>
      <c r="B13" s="3" t="s">
        <v>17</v>
      </c>
      <c r="C13" s="3"/>
      <c r="D13" s="3"/>
      <c r="E13" s="17">
        <v>0.96419999999999995</v>
      </c>
      <c r="F13" s="3">
        <v>475</v>
      </c>
      <c r="H13" s="2"/>
      <c r="I13" s="2"/>
      <c r="J13" s="2"/>
      <c r="K13" s="2"/>
      <c r="L13" s="32"/>
      <c r="M13" s="32"/>
      <c r="N13" s="32"/>
      <c r="O13" s="32"/>
      <c r="P13" s="32"/>
      <c r="Q13" s="32"/>
      <c r="R13" s="32"/>
    </row>
    <row r="14" spans="1:18">
      <c r="A14" s="20"/>
      <c r="B14" s="3" t="s">
        <v>18</v>
      </c>
      <c r="C14" s="3">
        <v>0.96350000000000002</v>
      </c>
      <c r="D14" s="3">
        <v>0.9617</v>
      </c>
      <c r="E14" s="3">
        <v>0.96220000000000006</v>
      </c>
      <c r="F14" s="3">
        <v>475</v>
      </c>
      <c r="H14" s="2"/>
      <c r="I14" s="2"/>
      <c r="J14" s="2"/>
      <c r="K14" s="2"/>
      <c r="L14" s="32"/>
      <c r="M14" s="32"/>
      <c r="N14" s="32"/>
      <c r="O14" s="32"/>
      <c r="P14" s="32"/>
      <c r="Q14" s="32"/>
      <c r="R14" s="32"/>
    </row>
    <row r="15" spans="1:18">
      <c r="A15" s="20"/>
      <c r="B15" s="3" t="s">
        <v>20</v>
      </c>
      <c r="C15" s="3">
        <v>0.96419999999999995</v>
      </c>
      <c r="D15" s="3">
        <v>0.96419999999999995</v>
      </c>
      <c r="E15" s="3">
        <v>0.96379999999999999</v>
      </c>
      <c r="F15" s="3">
        <v>475</v>
      </c>
      <c r="H15" s="2"/>
      <c r="I15" s="2"/>
      <c r="J15" s="2"/>
      <c r="K15" s="2"/>
      <c r="L15" s="32"/>
      <c r="M15" s="32"/>
      <c r="N15" s="32"/>
      <c r="O15" s="32"/>
      <c r="P15" s="32"/>
      <c r="Q15" s="32"/>
      <c r="R15" s="32"/>
    </row>
    <row r="17" spans="1:18" ht="15" customHeight="1">
      <c r="A17" s="20" t="s">
        <v>58</v>
      </c>
      <c r="B17" s="4"/>
      <c r="C17" s="4" t="s">
        <v>6</v>
      </c>
      <c r="D17" s="4" t="s">
        <v>7</v>
      </c>
      <c r="E17" s="4" t="s">
        <v>8</v>
      </c>
      <c r="F17" s="4" t="s">
        <v>9</v>
      </c>
      <c r="H17" s="22" t="s">
        <v>66</v>
      </c>
      <c r="I17" s="23"/>
      <c r="J17" s="24"/>
      <c r="L17" s="20" t="s">
        <v>73</v>
      </c>
      <c r="M17" s="20"/>
      <c r="N17" s="20"/>
      <c r="O17" s="20"/>
      <c r="P17" s="20"/>
      <c r="Q17" s="20"/>
      <c r="R17" s="20"/>
    </row>
    <row r="18" spans="1:18">
      <c r="A18" s="20"/>
      <c r="B18" s="3" t="s">
        <v>65</v>
      </c>
      <c r="C18" s="3">
        <v>1</v>
      </c>
      <c r="D18" s="3">
        <v>0.95830000000000004</v>
      </c>
      <c r="E18" s="3">
        <v>0.97870000000000001</v>
      </c>
      <c r="F18" s="3">
        <v>48</v>
      </c>
      <c r="H18" s="25"/>
      <c r="I18" s="26"/>
      <c r="J18" s="27"/>
      <c r="L18" s="20"/>
      <c r="M18" s="20"/>
      <c r="N18" s="20"/>
      <c r="O18" s="20"/>
      <c r="P18" s="20"/>
      <c r="Q18" s="20"/>
      <c r="R18" s="20"/>
    </row>
    <row r="19" spans="1:18">
      <c r="A19" s="20"/>
      <c r="B19" s="3" t="s">
        <v>47</v>
      </c>
      <c r="C19" s="3">
        <v>0.87270000000000003</v>
      </c>
      <c r="D19" s="3">
        <v>1</v>
      </c>
      <c r="E19" s="3">
        <v>0.93200000000000005</v>
      </c>
      <c r="F19" s="3">
        <v>48</v>
      </c>
      <c r="H19" s="25"/>
      <c r="I19" s="26"/>
      <c r="J19" s="27"/>
      <c r="L19" s="20"/>
      <c r="M19" s="20"/>
      <c r="N19" s="20"/>
      <c r="O19" s="20"/>
      <c r="P19" s="20"/>
      <c r="Q19" s="20"/>
      <c r="R19" s="20"/>
    </row>
    <row r="20" spans="1:18">
      <c r="A20" s="20"/>
      <c r="B20" s="3" t="s">
        <v>48</v>
      </c>
      <c r="C20" s="3">
        <v>1</v>
      </c>
      <c r="D20" s="3">
        <v>0.85109999999999997</v>
      </c>
      <c r="E20" s="3">
        <v>0.91949999999999998</v>
      </c>
      <c r="F20" s="3">
        <v>47</v>
      </c>
      <c r="H20" s="25"/>
      <c r="I20" s="26"/>
      <c r="J20" s="27"/>
      <c r="L20" s="20"/>
      <c r="M20" s="20"/>
      <c r="N20" s="20"/>
      <c r="O20" s="20"/>
      <c r="P20" s="20"/>
      <c r="Q20" s="20"/>
      <c r="R20" s="20"/>
    </row>
    <row r="21" spans="1:18">
      <c r="A21" s="20"/>
      <c r="B21" s="3" t="s">
        <v>49</v>
      </c>
      <c r="C21" s="3">
        <v>0.97670000000000001</v>
      </c>
      <c r="D21" s="3">
        <v>0.89359999999999995</v>
      </c>
      <c r="E21" s="3">
        <v>0.93330000000000002</v>
      </c>
      <c r="F21" s="3">
        <v>47</v>
      </c>
      <c r="H21" s="25"/>
      <c r="I21" s="26"/>
      <c r="J21" s="27"/>
      <c r="L21" s="20"/>
      <c r="M21" s="20"/>
      <c r="N21" s="20"/>
      <c r="O21" s="20"/>
      <c r="P21" s="20"/>
      <c r="Q21" s="20"/>
      <c r="R21" s="20"/>
    </row>
    <row r="22" spans="1:18">
      <c r="A22" s="20"/>
      <c r="B22" s="3" t="s">
        <v>50</v>
      </c>
      <c r="C22" s="3">
        <v>0.92</v>
      </c>
      <c r="D22" s="3">
        <v>0.95830000000000004</v>
      </c>
      <c r="E22" s="3">
        <v>0.93879999999999997</v>
      </c>
      <c r="F22" s="3">
        <v>48</v>
      </c>
      <c r="H22" s="25"/>
      <c r="I22" s="26"/>
      <c r="J22" s="27"/>
      <c r="L22" s="20"/>
      <c r="M22" s="20"/>
      <c r="N22" s="20"/>
      <c r="O22" s="20"/>
      <c r="P22" s="20"/>
      <c r="Q22" s="20"/>
      <c r="R22" s="20"/>
    </row>
    <row r="23" spans="1:18">
      <c r="A23" s="20"/>
      <c r="B23" s="3" t="s">
        <v>33</v>
      </c>
      <c r="C23" s="3">
        <v>0.80359999999999998</v>
      </c>
      <c r="D23" s="3">
        <v>0.95740000000000003</v>
      </c>
      <c r="E23" s="3">
        <v>0.87380000000000002</v>
      </c>
      <c r="F23" s="3">
        <v>47</v>
      </c>
      <c r="H23" s="25"/>
      <c r="I23" s="26"/>
      <c r="J23" s="27"/>
      <c r="L23" s="20"/>
      <c r="M23" s="20"/>
      <c r="N23" s="20"/>
      <c r="O23" s="20"/>
      <c r="P23" s="20"/>
      <c r="Q23" s="20"/>
      <c r="R23" s="20"/>
    </row>
    <row r="24" spans="1:18">
      <c r="A24" s="20"/>
      <c r="B24" s="3" t="s">
        <v>51</v>
      </c>
      <c r="C24" s="3">
        <v>0.88370000000000004</v>
      </c>
      <c r="D24" s="3">
        <v>0.79169999999999996</v>
      </c>
      <c r="E24" s="3">
        <v>0.83520000000000005</v>
      </c>
      <c r="F24" s="3">
        <v>48</v>
      </c>
      <c r="H24" s="25"/>
      <c r="I24" s="26"/>
      <c r="J24" s="27"/>
      <c r="L24" s="20"/>
      <c r="M24" s="20"/>
      <c r="N24" s="20"/>
      <c r="O24" s="20"/>
      <c r="P24" s="20"/>
      <c r="Q24" s="20"/>
      <c r="R24" s="20"/>
    </row>
    <row r="25" spans="1:18">
      <c r="A25" s="20"/>
      <c r="B25" s="3"/>
      <c r="C25" s="3"/>
      <c r="D25" s="3"/>
      <c r="E25" s="3"/>
      <c r="F25" s="3"/>
      <c r="H25" s="25"/>
      <c r="I25" s="26"/>
      <c r="J25" s="27"/>
      <c r="L25" s="20"/>
      <c r="M25" s="20"/>
      <c r="N25" s="20"/>
      <c r="O25" s="20"/>
      <c r="P25" s="20"/>
      <c r="Q25" s="20"/>
      <c r="R25" s="20"/>
    </row>
    <row r="26" spans="1:18">
      <c r="A26" s="20"/>
      <c r="B26" s="3" t="s">
        <v>17</v>
      </c>
      <c r="C26" s="3"/>
      <c r="D26" s="3"/>
      <c r="E26" s="18">
        <v>0.91590000000000005</v>
      </c>
      <c r="F26" s="3">
        <v>333</v>
      </c>
      <c r="H26" s="25"/>
      <c r="I26" s="26"/>
      <c r="J26" s="27"/>
      <c r="L26" s="20"/>
      <c r="M26" s="20"/>
      <c r="N26" s="20"/>
      <c r="O26" s="20"/>
      <c r="P26" s="20"/>
      <c r="Q26" s="20"/>
      <c r="R26" s="20"/>
    </row>
    <row r="27" spans="1:18">
      <c r="A27" s="20"/>
      <c r="B27" s="3" t="s">
        <v>18</v>
      </c>
      <c r="C27" s="3">
        <v>0.9224</v>
      </c>
      <c r="D27" s="3">
        <v>0.91579999999999995</v>
      </c>
      <c r="E27" s="3">
        <v>0.91590000000000005</v>
      </c>
      <c r="F27" s="3">
        <v>333</v>
      </c>
      <c r="H27" s="25"/>
      <c r="I27" s="26"/>
      <c r="J27" s="27"/>
      <c r="L27" s="20"/>
      <c r="M27" s="20"/>
      <c r="N27" s="20"/>
      <c r="O27" s="20"/>
      <c r="P27" s="20"/>
      <c r="Q27" s="20"/>
      <c r="R27" s="20"/>
    </row>
    <row r="28" spans="1:18">
      <c r="A28" s="20"/>
      <c r="B28" s="3" t="s">
        <v>20</v>
      </c>
      <c r="C28" s="3">
        <v>0.9224</v>
      </c>
      <c r="D28" s="3">
        <v>0.91590000000000005</v>
      </c>
      <c r="E28" s="3">
        <v>0.91600000000000004</v>
      </c>
      <c r="F28" s="3">
        <v>333</v>
      </c>
      <c r="H28" s="28"/>
      <c r="I28" s="29"/>
      <c r="J28" s="30"/>
      <c r="L28" s="20"/>
      <c r="M28" s="20"/>
      <c r="N28" s="20"/>
      <c r="O28" s="20"/>
      <c r="P28" s="20"/>
      <c r="Q28" s="20"/>
      <c r="R28" s="20"/>
    </row>
    <row r="29" spans="1:18">
      <c r="L29" s="6"/>
      <c r="M29" s="6"/>
      <c r="N29" s="6"/>
      <c r="O29" s="6"/>
      <c r="P29" s="6"/>
      <c r="Q29" s="6"/>
      <c r="R29" s="6"/>
    </row>
    <row r="30" spans="1:18" ht="15" customHeight="1">
      <c r="L30" s="6"/>
      <c r="M30" s="6"/>
      <c r="N30" s="6"/>
      <c r="O30" s="6"/>
      <c r="P30" s="6"/>
      <c r="Q30" s="6"/>
      <c r="R30" s="6"/>
    </row>
    <row r="31" spans="1:18">
      <c r="L31" s="6"/>
      <c r="M31" s="6"/>
      <c r="N31" s="6"/>
      <c r="O31" s="6"/>
      <c r="P31" s="6"/>
      <c r="Q31" s="6"/>
      <c r="R31" s="6"/>
    </row>
  </sheetData>
  <mergeCells count="6">
    <mergeCell ref="H1:J12"/>
    <mergeCell ref="H17:J28"/>
    <mergeCell ref="A1:A15"/>
    <mergeCell ref="A17:A28"/>
    <mergeCell ref="L17:R28"/>
    <mergeCell ref="L1:R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8CBB-B365-4060-8EC2-26B32487960C}">
  <dimension ref="A1:Q25"/>
  <sheetViews>
    <sheetView zoomScaleNormal="100" workbookViewId="0">
      <selection activeCell="H19" sqref="H19"/>
    </sheetView>
  </sheetViews>
  <sheetFormatPr defaultRowHeight="15"/>
  <cols>
    <col min="1" max="1" width="19.85546875" style="6" customWidth="1"/>
    <col min="2" max="2" width="14.42578125" customWidth="1"/>
    <col min="3" max="3" width="10.85546875" customWidth="1"/>
    <col min="4" max="4" width="10.7109375" customWidth="1"/>
    <col min="5" max="5" width="11.140625" customWidth="1"/>
    <col min="11" max="11" width="12" bestFit="1" customWidth="1"/>
  </cols>
  <sheetData>
    <row r="1" spans="1:17">
      <c r="A1"/>
      <c r="P1" s="2"/>
      <c r="Q1" s="2"/>
    </row>
    <row r="2" spans="1:17">
      <c r="A2" s="46" t="s">
        <v>83</v>
      </c>
      <c r="B2" s="5"/>
      <c r="C2" s="5" t="s">
        <v>6</v>
      </c>
      <c r="D2" s="5" t="s">
        <v>7</v>
      </c>
      <c r="E2" s="5" t="s">
        <v>8</v>
      </c>
      <c r="F2" s="5" t="s">
        <v>9</v>
      </c>
      <c r="H2" s="20" t="s">
        <v>71</v>
      </c>
      <c r="I2" s="20"/>
      <c r="J2" s="20"/>
      <c r="L2" s="33" t="s">
        <v>85</v>
      </c>
      <c r="M2" s="34"/>
      <c r="N2" s="34"/>
      <c r="O2" s="34"/>
      <c r="P2" s="34"/>
      <c r="Q2" s="34"/>
    </row>
    <row r="3" spans="1:17">
      <c r="A3" s="47"/>
      <c r="B3" s="3">
        <v>1</v>
      </c>
      <c r="C3" s="3">
        <v>1</v>
      </c>
      <c r="D3" s="3">
        <v>1</v>
      </c>
      <c r="E3" s="3">
        <v>1</v>
      </c>
      <c r="F3" s="3">
        <v>48</v>
      </c>
      <c r="H3" s="20"/>
      <c r="I3" s="20"/>
      <c r="J3" s="20"/>
      <c r="L3" s="34"/>
      <c r="M3" s="34"/>
      <c r="N3" s="34"/>
      <c r="O3" s="34"/>
      <c r="P3" s="34"/>
      <c r="Q3" s="34"/>
    </row>
    <row r="4" spans="1:17">
      <c r="A4" s="47"/>
      <c r="B4" s="3">
        <v>10</v>
      </c>
      <c r="C4" s="3">
        <v>0.92159999999999997</v>
      </c>
      <c r="D4" s="3">
        <v>0.97919999999999996</v>
      </c>
      <c r="E4" s="3">
        <v>0.94950000000000001</v>
      </c>
      <c r="F4" s="3">
        <v>48</v>
      </c>
      <c r="H4" s="20"/>
      <c r="I4" s="20"/>
      <c r="J4" s="20"/>
      <c r="L4" s="34"/>
      <c r="M4" s="34"/>
      <c r="N4" s="34"/>
      <c r="O4" s="34"/>
      <c r="P4" s="34"/>
      <c r="Q4" s="34"/>
    </row>
    <row r="5" spans="1:17">
      <c r="A5" s="47"/>
      <c r="B5" s="3">
        <v>2</v>
      </c>
      <c r="C5" s="3">
        <v>1</v>
      </c>
      <c r="D5" s="3">
        <v>0.89580000000000004</v>
      </c>
      <c r="E5" s="3">
        <v>0.94510000000000005</v>
      </c>
      <c r="F5" s="3">
        <v>48</v>
      </c>
      <c r="H5" s="20"/>
      <c r="I5" s="20"/>
      <c r="J5" s="20"/>
      <c r="L5" s="34"/>
      <c r="M5" s="34"/>
      <c r="N5" s="34"/>
      <c r="O5" s="34"/>
      <c r="P5" s="34"/>
      <c r="Q5" s="34"/>
    </row>
    <row r="6" spans="1:17" ht="15" customHeight="1">
      <c r="A6" s="47"/>
      <c r="B6" s="3">
        <v>3</v>
      </c>
      <c r="C6" s="3">
        <v>1</v>
      </c>
      <c r="D6" s="3">
        <v>0.97919999999999996</v>
      </c>
      <c r="E6" s="3">
        <v>0.98950000000000005</v>
      </c>
      <c r="F6" s="3">
        <v>48</v>
      </c>
      <c r="H6" s="20"/>
      <c r="I6" s="20"/>
      <c r="J6" s="20"/>
      <c r="L6" s="34"/>
      <c r="M6" s="34"/>
      <c r="N6" s="34"/>
      <c r="O6" s="34"/>
      <c r="P6" s="34"/>
      <c r="Q6" s="34"/>
    </row>
    <row r="7" spans="1:17">
      <c r="A7" s="47"/>
      <c r="B7" s="3">
        <v>4</v>
      </c>
      <c r="C7" s="3">
        <v>0.91839999999999999</v>
      </c>
      <c r="D7" s="3">
        <v>0.9375</v>
      </c>
      <c r="E7" s="3">
        <v>0.92779999999999996</v>
      </c>
      <c r="F7" s="3">
        <v>48</v>
      </c>
      <c r="H7" s="20"/>
      <c r="I7" s="20"/>
      <c r="J7" s="20"/>
      <c r="L7" s="34"/>
      <c r="M7" s="34"/>
      <c r="N7" s="34"/>
      <c r="O7" s="34"/>
      <c r="P7" s="34"/>
      <c r="Q7" s="34"/>
    </row>
    <row r="8" spans="1:17">
      <c r="A8" s="47"/>
      <c r="B8" s="3">
        <v>5</v>
      </c>
      <c r="C8" s="3">
        <v>0.97870000000000001</v>
      </c>
      <c r="D8" s="3">
        <v>0.95830000000000004</v>
      </c>
      <c r="E8" s="3">
        <v>0.96840000000000004</v>
      </c>
      <c r="F8" s="3">
        <v>48</v>
      </c>
      <c r="H8" s="20"/>
      <c r="I8" s="20"/>
      <c r="J8" s="20"/>
      <c r="L8" s="34"/>
      <c r="M8" s="34"/>
      <c r="N8" s="34"/>
      <c r="O8" s="34"/>
      <c r="P8" s="34"/>
      <c r="Q8" s="34"/>
    </row>
    <row r="9" spans="1:17">
      <c r="A9" s="47"/>
      <c r="B9" s="3">
        <v>6</v>
      </c>
      <c r="C9" s="3">
        <v>0.96</v>
      </c>
      <c r="D9" s="3">
        <v>1</v>
      </c>
      <c r="E9" s="3">
        <v>0.97960000000000003</v>
      </c>
      <c r="F9" s="3">
        <v>48</v>
      </c>
      <c r="H9" s="20"/>
      <c r="I9" s="20"/>
      <c r="J9" s="20"/>
      <c r="L9" s="34"/>
      <c r="M9" s="34"/>
      <c r="N9" s="34"/>
      <c r="O9" s="34"/>
      <c r="P9" s="34"/>
      <c r="Q9" s="34"/>
    </row>
    <row r="10" spans="1:17">
      <c r="A10" s="47"/>
      <c r="B10" s="3">
        <v>7</v>
      </c>
      <c r="C10" s="3">
        <v>0.89800000000000002</v>
      </c>
      <c r="D10" s="3">
        <v>0.91669999999999996</v>
      </c>
      <c r="E10" s="3">
        <v>0.90720000000000001</v>
      </c>
      <c r="F10" s="3">
        <v>48</v>
      </c>
      <c r="H10" s="20"/>
      <c r="I10" s="20"/>
      <c r="J10" s="20"/>
      <c r="L10" s="34"/>
      <c r="M10" s="34"/>
      <c r="N10" s="34"/>
      <c r="O10" s="34"/>
      <c r="P10" s="34"/>
      <c r="Q10" s="34"/>
    </row>
    <row r="11" spans="1:17">
      <c r="A11" s="47"/>
      <c r="B11" s="3">
        <v>8</v>
      </c>
      <c r="C11" s="3">
        <v>1</v>
      </c>
      <c r="D11" s="3">
        <v>1</v>
      </c>
      <c r="E11" s="3">
        <v>1</v>
      </c>
      <c r="F11" s="3">
        <v>48</v>
      </c>
      <c r="H11" s="20"/>
      <c r="I11" s="20"/>
      <c r="J11" s="20"/>
      <c r="L11" s="34"/>
      <c r="M11" s="34"/>
      <c r="N11" s="34"/>
      <c r="O11" s="34"/>
      <c r="P11" s="34"/>
      <c r="Q11" s="34"/>
    </row>
    <row r="12" spans="1:17">
      <c r="A12" s="47"/>
      <c r="B12" s="3">
        <v>9</v>
      </c>
      <c r="C12" s="3">
        <v>0.97919999999999996</v>
      </c>
      <c r="D12" s="3">
        <v>0.97919999999999996</v>
      </c>
      <c r="E12" s="3">
        <v>0.97919999999999996</v>
      </c>
      <c r="F12" s="3">
        <v>48</v>
      </c>
      <c r="H12" s="20"/>
      <c r="I12" s="20"/>
      <c r="J12" s="20"/>
      <c r="L12" s="34"/>
      <c r="M12" s="34"/>
      <c r="N12" s="34"/>
      <c r="O12" s="34"/>
      <c r="P12" s="34"/>
      <c r="Q12" s="34"/>
    </row>
    <row r="13" spans="1:17">
      <c r="A13" s="47"/>
      <c r="B13" s="3"/>
      <c r="C13" s="3"/>
      <c r="D13" s="3"/>
      <c r="E13" s="3"/>
      <c r="F13" s="3"/>
      <c r="H13" s="20"/>
      <c r="I13" s="20"/>
      <c r="J13" s="20"/>
      <c r="L13" s="34"/>
      <c r="M13" s="34"/>
      <c r="N13" s="34"/>
      <c r="O13" s="34"/>
      <c r="P13" s="34"/>
      <c r="Q13" s="34"/>
    </row>
    <row r="14" spans="1:17">
      <c r="A14" s="47"/>
      <c r="B14" s="3" t="s">
        <v>17</v>
      </c>
      <c r="C14" s="3"/>
      <c r="D14" s="3"/>
      <c r="E14" s="18">
        <v>0.96460000000000001</v>
      </c>
      <c r="F14" s="3">
        <v>480</v>
      </c>
      <c r="H14" s="6"/>
      <c r="I14" s="6"/>
      <c r="J14" s="6"/>
      <c r="K14" s="6"/>
      <c r="L14" s="34"/>
      <c r="M14" s="34"/>
      <c r="N14" s="34"/>
      <c r="O14" s="34"/>
      <c r="P14" s="34"/>
      <c r="Q14" s="34"/>
    </row>
    <row r="15" spans="1:17">
      <c r="A15" s="47"/>
      <c r="B15" s="3" t="s">
        <v>18</v>
      </c>
      <c r="C15" s="3">
        <v>0.96560000000000001</v>
      </c>
      <c r="D15" s="3">
        <v>0.96460000000000001</v>
      </c>
      <c r="E15" s="3">
        <v>0.96460000000000001</v>
      </c>
      <c r="F15" s="3">
        <v>480</v>
      </c>
      <c r="H15" s="6"/>
      <c r="I15" s="6"/>
      <c r="J15" s="6"/>
      <c r="K15" s="6"/>
      <c r="L15" s="34"/>
      <c r="M15" s="34"/>
      <c r="N15" s="34"/>
      <c r="O15" s="34"/>
      <c r="P15" s="34"/>
      <c r="Q15" s="34"/>
    </row>
    <row r="16" spans="1:17">
      <c r="A16" s="48"/>
      <c r="B16" s="3" t="s">
        <v>20</v>
      </c>
      <c r="C16" s="3">
        <v>0.96560000000000001</v>
      </c>
      <c r="D16" s="3">
        <v>0.96460000000000001</v>
      </c>
      <c r="E16" s="3">
        <v>0.96460000000000001</v>
      </c>
      <c r="F16" s="3">
        <v>480</v>
      </c>
      <c r="H16" s="6"/>
      <c r="I16" s="6"/>
      <c r="J16" s="6"/>
      <c r="K16" s="6"/>
      <c r="L16" s="34"/>
      <c r="M16" s="34"/>
      <c r="N16" s="34"/>
      <c r="O16" s="34"/>
      <c r="P16" s="34"/>
      <c r="Q16" s="34"/>
    </row>
    <row r="18" spans="1:1" ht="15" customHeight="1"/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</sheetData>
  <mergeCells count="3">
    <mergeCell ref="L2:Q16"/>
    <mergeCell ref="A2:A16"/>
    <mergeCell ref="H2:J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556F-CF9E-45B7-86F7-804F51247D4A}">
  <dimension ref="A1:N152"/>
  <sheetViews>
    <sheetView tabSelected="1" topLeftCell="B119" zoomScaleNormal="100" workbookViewId="0">
      <selection activeCell="P136" sqref="P136"/>
    </sheetView>
  </sheetViews>
  <sheetFormatPr defaultColWidth="8.85546875" defaultRowHeight="15"/>
  <cols>
    <col min="1" max="1" width="16.85546875" style="6" customWidth="1"/>
    <col min="2" max="2" width="11.28515625" style="7" customWidth="1"/>
    <col min="3" max="3" width="14.42578125" style="6" customWidth="1"/>
    <col min="4" max="4" width="10.85546875" style="6" customWidth="1"/>
    <col min="5" max="5" width="10.7109375" style="6" customWidth="1"/>
    <col min="6" max="6" width="11.140625" style="6" customWidth="1"/>
    <col min="7" max="11" width="8.85546875" style="6"/>
    <col min="12" max="12" width="12" style="6" bestFit="1" customWidth="1"/>
    <col min="13" max="16384" width="8.85546875" style="6"/>
  </cols>
  <sheetData>
    <row r="1" spans="1:10" ht="15" customHeight="1"/>
    <row r="2" spans="1:10">
      <c r="A2" s="21" t="s">
        <v>62</v>
      </c>
      <c r="B2" s="43" t="s">
        <v>52</v>
      </c>
      <c r="C2" s="5"/>
      <c r="D2" s="5" t="s">
        <v>77</v>
      </c>
      <c r="E2" s="5" t="s">
        <v>78</v>
      </c>
      <c r="F2" s="5" t="s">
        <v>86</v>
      </c>
      <c r="G2" s="5" t="s">
        <v>87</v>
      </c>
    </row>
    <row r="3" spans="1:10">
      <c r="A3" s="21"/>
      <c r="B3" s="44"/>
      <c r="C3" s="40" t="s">
        <v>45</v>
      </c>
      <c r="D3" s="8">
        <v>0.95920000000000005</v>
      </c>
      <c r="E3" s="8">
        <v>1</v>
      </c>
      <c r="F3" s="8">
        <v>1</v>
      </c>
      <c r="G3" s="8">
        <v>49</v>
      </c>
    </row>
    <row r="4" spans="1:10">
      <c r="A4" s="21"/>
      <c r="B4" s="44"/>
      <c r="C4" s="41"/>
      <c r="D4" s="8">
        <v>0.97870000000000001</v>
      </c>
      <c r="E4" s="8">
        <v>1</v>
      </c>
      <c r="F4" s="8">
        <v>1</v>
      </c>
      <c r="G4" s="8">
        <v>47</v>
      </c>
    </row>
    <row r="5" spans="1:10">
      <c r="A5" s="21"/>
      <c r="B5" s="44"/>
      <c r="C5" s="42"/>
      <c r="D5" s="8">
        <v>0.9375</v>
      </c>
      <c r="E5" s="8">
        <v>1</v>
      </c>
      <c r="F5" s="8">
        <v>1</v>
      </c>
      <c r="G5" s="8">
        <v>48</v>
      </c>
    </row>
    <row r="6" spans="1:10">
      <c r="A6" s="21"/>
      <c r="B6" s="45"/>
      <c r="C6" s="8" t="s">
        <v>19</v>
      </c>
      <c r="D6" s="19">
        <f>AVERAGE(D3:D5)</f>
        <v>0.95846666666666669</v>
      </c>
      <c r="E6" s="8"/>
      <c r="F6" s="8"/>
      <c r="G6" s="8"/>
    </row>
    <row r="7" spans="1:10">
      <c r="A7" s="21"/>
    </row>
    <row r="8" spans="1:10">
      <c r="A8" s="21"/>
      <c r="B8" s="39" t="s">
        <v>63</v>
      </c>
      <c r="C8" s="5"/>
      <c r="D8" s="5" t="s">
        <v>77</v>
      </c>
      <c r="E8" s="5" t="s">
        <v>78</v>
      </c>
      <c r="F8" s="5" t="s">
        <v>86</v>
      </c>
      <c r="G8" s="5" t="s">
        <v>87</v>
      </c>
    </row>
    <row r="9" spans="1:10">
      <c r="A9" s="21"/>
      <c r="B9" s="39"/>
      <c r="C9" s="40">
        <v>25</v>
      </c>
      <c r="D9" s="10">
        <v>2.1299999999999999E-2</v>
      </c>
      <c r="E9" s="10">
        <v>0.40429999999999999</v>
      </c>
      <c r="F9" s="10">
        <v>0.82979999999999998</v>
      </c>
      <c r="G9" s="10">
        <v>47</v>
      </c>
      <c r="I9" s="8">
        <v>25</v>
      </c>
      <c r="J9" s="19">
        <f>AVERAGE(D9:D11)</f>
        <v>1.3766666666666668E-2</v>
      </c>
    </row>
    <row r="10" spans="1:10">
      <c r="A10" s="21"/>
      <c r="B10" s="39"/>
      <c r="C10" s="41"/>
      <c r="D10" s="10">
        <v>0</v>
      </c>
      <c r="E10" s="10">
        <v>0.27660000000000001</v>
      </c>
      <c r="F10" s="10">
        <v>0.85109999999999997</v>
      </c>
      <c r="G10" s="10">
        <v>47</v>
      </c>
      <c r="I10" s="8">
        <v>50</v>
      </c>
      <c r="J10" s="19">
        <f>AVERAGE(D12:D14)</f>
        <v>0.59440000000000004</v>
      </c>
    </row>
    <row r="11" spans="1:10">
      <c r="A11" s="21"/>
      <c r="B11" s="39"/>
      <c r="C11" s="42"/>
      <c r="D11" s="10">
        <v>0.02</v>
      </c>
      <c r="E11" s="10">
        <v>0.5</v>
      </c>
      <c r="F11" s="10">
        <v>0.9</v>
      </c>
      <c r="G11" s="10">
        <v>50</v>
      </c>
      <c r="I11" s="8">
        <v>75</v>
      </c>
      <c r="J11" s="19">
        <f>AVERAGE(D15:D17)</f>
        <v>0.92359999999999998</v>
      </c>
    </row>
    <row r="12" spans="1:10">
      <c r="A12" s="21"/>
      <c r="B12" s="39"/>
      <c r="C12" s="40">
        <v>50</v>
      </c>
      <c r="D12" s="10">
        <v>0.70830000000000004</v>
      </c>
      <c r="E12" s="10">
        <v>0.9375</v>
      </c>
      <c r="F12" s="10">
        <v>0.97919999999999996</v>
      </c>
      <c r="G12" s="10">
        <v>48</v>
      </c>
      <c r="I12" s="8">
        <v>100</v>
      </c>
      <c r="J12" s="19">
        <f>AVERAGE(D18:D20)</f>
        <v>0.94096666666666662</v>
      </c>
    </row>
    <row r="13" spans="1:10">
      <c r="A13" s="21"/>
      <c r="B13" s="39"/>
      <c r="C13" s="41"/>
      <c r="D13" s="10">
        <v>0.55320000000000003</v>
      </c>
      <c r="E13" s="10">
        <v>0.91490000000000005</v>
      </c>
      <c r="F13" s="10">
        <v>1</v>
      </c>
      <c r="G13" s="10">
        <v>47</v>
      </c>
    </row>
    <row r="14" spans="1:10">
      <c r="A14" s="21"/>
      <c r="B14" s="39"/>
      <c r="C14" s="42"/>
      <c r="D14" s="10">
        <v>0.52170000000000005</v>
      </c>
      <c r="E14" s="10">
        <v>0.97829999999999995</v>
      </c>
      <c r="F14" s="10">
        <v>1</v>
      </c>
      <c r="G14" s="10">
        <v>46</v>
      </c>
    </row>
    <row r="15" spans="1:10">
      <c r="A15" s="21"/>
      <c r="B15" s="39"/>
      <c r="C15" s="40">
        <v>75</v>
      </c>
      <c r="D15" s="10">
        <v>0.83330000000000004</v>
      </c>
      <c r="E15" s="10">
        <v>0.97919999999999996</v>
      </c>
      <c r="F15" s="10">
        <v>1</v>
      </c>
      <c r="G15" s="10">
        <v>48</v>
      </c>
    </row>
    <row r="16" spans="1:10">
      <c r="A16" s="21"/>
      <c r="B16" s="39"/>
      <c r="C16" s="41"/>
      <c r="D16" s="10">
        <v>0.9375</v>
      </c>
      <c r="E16" s="10">
        <v>1</v>
      </c>
      <c r="F16" s="10">
        <v>1</v>
      </c>
      <c r="G16" s="10">
        <v>48</v>
      </c>
    </row>
    <row r="17" spans="1:10">
      <c r="A17" s="21"/>
      <c r="B17" s="39"/>
      <c r="C17" s="42"/>
      <c r="D17" s="10">
        <v>1</v>
      </c>
      <c r="E17" s="10">
        <v>1</v>
      </c>
      <c r="F17" s="10">
        <v>1</v>
      </c>
      <c r="G17" s="10">
        <v>48</v>
      </c>
    </row>
    <row r="18" spans="1:10">
      <c r="A18" s="21"/>
      <c r="B18" s="39"/>
      <c r="C18" s="40">
        <v>100</v>
      </c>
      <c r="D18" s="10">
        <v>0.96230000000000004</v>
      </c>
      <c r="E18" s="10">
        <v>1</v>
      </c>
      <c r="F18" s="10">
        <v>1</v>
      </c>
      <c r="G18" s="10">
        <v>53</v>
      </c>
    </row>
    <row r="19" spans="1:10">
      <c r="A19" s="21"/>
      <c r="B19" s="39"/>
      <c r="C19" s="41"/>
      <c r="D19" s="10">
        <v>0.9375</v>
      </c>
      <c r="E19" s="10">
        <v>0.95830000000000004</v>
      </c>
      <c r="F19" s="10">
        <v>0.97919999999999996</v>
      </c>
      <c r="G19" s="10">
        <v>48</v>
      </c>
    </row>
    <row r="20" spans="1:10">
      <c r="A20" s="21"/>
      <c r="B20" s="39"/>
      <c r="C20" s="42"/>
      <c r="D20" s="10">
        <v>0.92310000000000003</v>
      </c>
      <c r="E20" s="10">
        <v>0.98080000000000001</v>
      </c>
      <c r="F20" s="10">
        <v>1</v>
      </c>
      <c r="G20" s="10">
        <v>52</v>
      </c>
    </row>
    <row r="21" spans="1:10">
      <c r="A21" s="21"/>
    </row>
    <row r="22" spans="1:10">
      <c r="A22" s="21"/>
      <c r="B22" s="39" t="s">
        <v>53</v>
      </c>
      <c r="C22" s="5"/>
      <c r="D22" s="5" t="s">
        <v>77</v>
      </c>
      <c r="E22" s="5" t="s">
        <v>78</v>
      </c>
      <c r="F22" s="5" t="s">
        <v>86</v>
      </c>
      <c r="G22" s="5" t="s">
        <v>87</v>
      </c>
    </row>
    <row r="23" spans="1:10">
      <c r="A23" s="21"/>
      <c r="B23" s="39"/>
      <c r="C23" s="40" t="s">
        <v>46</v>
      </c>
      <c r="D23" s="10">
        <v>0.83330000000000004</v>
      </c>
      <c r="E23" s="10">
        <v>0.97919999999999996</v>
      </c>
      <c r="F23" s="10">
        <v>1</v>
      </c>
      <c r="G23" s="10">
        <v>48</v>
      </c>
      <c r="I23" s="8" t="s">
        <v>46</v>
      </c>
      <c r="J23" s="19">
        <f>AVERAGE(D23:D25)</f>
        <v>0.92359999999999998</v>
      </c>
    </row>
    <row r="24" spans="1:10">
      <c r="A24" s="21"/>
      <c r="B24" s="39"/>
      <c r="C24" s="41"/>
      <c r="D24" s="10">
        <v>0.9375</v>
      </c>
      <c r="E24" s="10">
        <v>1</v>
      </c>
      <c r="F24" s="10">
        <v>1</v>
      </c>
      <c r="G24" s="10">
        <v>48</v>
      </c>
      <c r="I24" s="8" t="s">
        <v>22</v>
      </c>
      <c r="J24" s="19">
        <f>AVERAGE(D26:D28)</f>
        <v>0.98040000000000005</v>
      </c>
    </row>
    <row r="25" spans="1:10">
      <c r="A25" s="21"/>
      <c r="B25" s="39"/>
      <c r="C25" s="42"/>
      <c r="D25" s="10">
        <v>1</v>
      </c>
      <c r="E25" s="10">
        <v>1</v>
      </c>
      <c r="F25" s="10">
        <v>1</v>
      </c>
      <c r="G25" s="10">
        <v>48</v>
      </c>
      <c r="I25" s="8" t="s">
        <v>21</v>
      </c>
      <c r="J25" s="19">
        <f>AVERAGE(D29:D31)</f>
        <v>0.97223333333333339</v>
      </c>
    </row>
    <row r="26" spans="1:10">
      <c r="A26" s="21"/>
      <c r="B26" s="39"/>
      <c r="C26" s="40" t="s">
        <v>22</v>
      </c>
      <c r="D26" s="10">
        <v>0.96079999999999999</v>
      </c>
      <c r="E26" s="10">
        <v>1</v>
      </c>
      <c r="F26" s="10">
        <v>1</v>
      </c>
      <c r="G26" s="10">
        <v>51</v>
      </c>
    </row>
    <row r="27" spans="1:10">
      <c r="A27" s="21"/>
      <c r="B27" s="39"/>
      <c r="C27" s="41"/>
      <c r="D27" s="10">
        <v>0.98040000000000005</v>
      </c>
      <c r="E27" s="10">
        <v>1</v>
      </c>
      <c r="F27" s="10">
        <v>1</v>
      </c>
      <c r="G27" s="10">
        <v>51</v>
      </c>
    </row>
    <row r="28" spans="1:10">
      <c r="A28" s="21"/>
      <c r="B28" s="39"/>
      <c r="C28" s="42"/>
      <c r="D28" s="10">
        <v>1</v>
      </c>
      <c r="E28" s="10">
        <v>1</v>
      </c>
      <c r="F28" s="10">
        <v>1</v>
      </c>
      <c r="G28" s="10">
        <v>47</v>
      </c>
    </row>
    <row r="29" spans="1:10">
      <c r="A29" s="21"/>
      <c r="B29" s="39"/>
      <c r="C29" s="40" t="s">
        <v>21</v>
      </c>
      <c r="D29" s="10">
        <v>1</v>
      </c>
      <c r="E29" s="10">
        <v>1</v>
      </c>
      <c r="F29" s="10">
        <v>1</v>
      </c>
      <c r="G29" s="10">
        <v>70</v>
      </c>
    </row>
    <row r="30" spans="1:10">
      <c r="A30" s="21"/>
      <c r="B30" s="39"/>
      <c r="C30" s="41"/>
      <c r="D30" s="10">
        <v>0.91669999999999996</v>
      </c>
      <c r="E30" s="10">
        <v>0.9375</v>
      </c>
      <c r="F30" s="10">
        <v>0.95830000000000004</v>
      </c>
      <c r="G30" s="10">
        <v>48</v>
      </c>
    </row>
    <row r="31" spans="1:10">
      <c r="A31" s="21"/>
      <c r="B31" s="39"/>
      <c r="C31" s="42"/>
      <c r="D31" s="10">
        <v>1</v>
      </c>
      <c r="E31" s="10">
        <v>1</v>
      </c>
      <c r="F31" s="10">
        <v>1</v>
      </c>
      <c r="G31" s="10">
        <v>48</v>
      </c>
    </row>
    <row r="32" spans="1:10">
      <c r="A32" s="21"/>
    </row>
    <row r="33" spans="1:10">
      <c r="A33" s="21"/>
      <c r="B33" s="39" t="s">
        <v>54</v>
      </c>
      <c r="C33" s="5"/>
      <c r="D33" s="5" t="s">
        <v>77</v>
      </c>
      <c r="E33" s="5" t="s">
        <v>78</v>
      </c>
      <c r="F33" s="5" t="s">
        <v>86</v>
      </c>
      <c r="G33" s="5" t="s">
        <v>87</v>
      </c>
    </row>
    <row r="34" spans="1:10">
      <c r="A34" s="21"/>
      <c r="B34" s="39"/>
      <c r="C34" s="40">
        <v>1</v>
      </c>
      <c r="D34" s="10">
        <v>0.8679</v>
      </c>
      <c r="E34" s="10">
        <v>0.88680000000000003</v>
      </c>
      <c r="F34" s="10">
        <v>0.92449999999999999</v>
      </c>
      <c r="G34" s="10">
        <v>53</v>
      </c>
      <c r="I34" s="8">
        <v>1</v>
      </c>
      <c r="J34" s="19">
        <f>AVERAGE(D34:D36)</f>
        <v>0.92779999999999996</v>
      </c>
    </row>
    <row r="35" spans="1:10">
      <c r="A35" s="21"/>
      <c r="B35" s="39"/>
      <c r="C35" s="41"/>
      <c r="D35" s="10">
        <v>0.91549999999999998</v>
      </c>
      <c r="E35" s="10">
        <v>1</v>
      </c>
      <c r="F35" s="10">
        <v>1</v>
      </c>
      <c r="G35" s="10">
        <v>71</v>
      </c>
      <c r="I35" s="8">
        <v>2</v>
      </c>
      <c r="J35" s="19">
        <f>AVERAGE(D37:D39)</f>
        <v>0.94130000000000003</v>
      </c>
    </row>
    <row r="36" spans="1:10">
      <c r="A36" s="21"/>
      <c r="B36" s="39"/>
      <c r="C36" s="42"/>
      <c r="D36" s="10">
        <v>1</v>
      </c>
      <c r="E36" s="10">
        <v>1</v>
      </c>
      <c r="F36" s="10">
        <v>1</v>
      </c>
      <c r="G36" s="10">
        <v>51</v>
      </c>
      <c r="I36" s="8">
        <v>3</v>
      </c>
      <c r="J36" s="19">
        <f>AVERAGE(D40:D42)</f>
        <v>0.9206333333333333</v>
      </c>
    </row>
    <row r="37" spans="1:10">
      <c r="A37" s="21"/>
      <c r="B37" s="39"/>
      <c r="C37" s="40">
        <v>2</v>
      </c>
      <c r="D37" s="10">
        <v>1</v>
      </c>
      <c r="E37" s="10">
        <v>1</v>
      </c>
      <c r="F37" s="10">
        <v>1</v>
      </c>
      <c r="G37" s="10">
        <v>63</v>
      </c>
      <c r="I37" s="8">
        <v>4</v>
      </c>
      <c r="J37" s="19">
        <f>AVERAGE(D43:D45)</f>
        <v>0.9743666666666666</v>
      </c>
    </row>
    <row r="38" spans="1:10">
      <c r="A38" s="21"/>
      <c r="B38" s="39"/>
      <c r="C38" s="41"/>
      <c r="D38" s="10">
        <v>0.96970000000000001</v>
      </c>
      <c r="E38" s="10">
        <v>1</v>
      </c>
      <c r="F38" s="10">
        <v>1</v>
      </c>
      <c r="G38" s="10">
        <v>66</v>
      </c>
      <c r="I38" s="8">
        <v>5</v>
      </c>
      <c r="J38" s="19">
        <f>AVERAGE(D46:D48)</f>
        <v>0.96453333333333335</v>
      </c>
    </row>
    <row r="39" spans="1:10">
      <c r="A39" s="21"/>
      <c r="B39" s="39"/>
      <c r="C39" s="42"/>
      <c r="D39" s="10">
        <v>0.85419999999999996</v>
      </c>
      <c r="E39" s="10">
        <v>0.97919999999999996</v>
      </c>
      <c r="F39" s="10">
        <v>1</v>
      </c>
      <c r="G39" s="10">
        <v>48</v>
      </c>
    </row>
    <row r="40" spans="1:10">
      <c r="A40" s="21"/>
      <c r="B40" s="39"/>
      <c r="C40" s="40">
        <v>3</v>
      </c>
      <c r="D40" s="10">
        <v>0.93879999999999997</v>
      </c>
      <c r="E40" s="10">
        <v>0.93879999999999997</v>
      </c>
      <c r="F40" s="10">
        <v>0.95920000000000005</v>
      </c>
      <c r="G40" s="10">
        <v>49</v>
      </c>
    </row>
    <row r="41" spans="1:10">
      <c r="A41" s="21"/>
      <c r="B41" s="39"/>
      <c r="C41" s="41"/>
      <c r="D41" s="10">
        <v>0.92310000000000003</v>
      </c>
      <c r="E41" s="10">
        <v>0.98080000000000001</v>
      </c>
      <c r="F41" s="10">
        <v>0.98080000000000001</v>
      </c>
      <c r="G41" s="10">
        <v>52</v>
      </c>
    </row>
    <row r="42" spans="1:10">
      <c r="A42" s="21"/>
      <c r="B42" s="39"/>
      <c r="C42" s="42"/>
      <c r="D42" s="10">
        <v>0.9</v>
      </c>
      <c r="E42" s="10">
        <v>0.98</v>
      </c>
      <c r="F42" s="10">
        <v>1</v>
      </c>
      <c r="G42" s="10">
        <v>50</v>
      </c>
    </row>
    <row r="43" spans="1:10">
      <c r="A43" s="21"/>
      <c r="B43" s="39"/>
      <c r="C43" s="40">
        <v>4</v>
      </c>
      <c r="D43" s="10">
        <v>0.96230000000000004</v>
      </c>
      <c r="E43" s="10">
        <v>1</v>
      </c>
      <c r="F43" s="10">
        <v>1</v>
      </c>
      <c r="G43" s="10">
        <v>53</v>
      </c>
    </row>
    <row r="44" spans="1:10">
      <c r="A44" s="21"/>
      <c r="B44" s="39"/>
      <c r="C44" s="41"/>
      <c r="D44" s="10">
        <v>1</v>
      </c>
      <c r="E44" s="10">
        <v>1</v>
      </c>
      <c r="F44" s="10">
        <v>1</v>
      </c>
      <c r="G44" s="10">
        <v>51</v>
      </c>
    </row>
    <row r="45" spans="1:10">
      <c r="A45" s="21"/>
      <c r="B45" s="39"/>
      <c r="C45" s="42"/>
      <c r="D45" s="10">
        <v>0.96079999999999999</v>
      </c>
      <c r="E45" s="10">
        <v>0.98040000000000005</v>
      </c>
      <c r="F45" s="10">
        <v>0.98040000000000005</v>
      </c>
      <c r="G45" s="10">
        <v>51</v>
      </c>
    </row>
    <row r="46" spans="1:10">
      <c r="A46" s="21"/>
      <c r="B46" s="39"/>
      <c r="C46" s="40">
        <v>5</v>
      </c>
      <c r="D46" s="10">
        <v>1</v>
      </c>
      <c r="E46" s="10">
        <v>1</v>
      </c>
      <c r="F46" s="10">
        <v>1</v>
      </c>
      <c r="G46" s="10">
        <v>51</v>
      </c>
    </row>
    <row r="47" spans="1:10">
      <c r="A47" s="21"/>
      <c r="B47" s="39"/>
      <c r="C47" s="41"/>
      <c r="D47" s="10">
        <v>1</v>
      </c>
      <c r="E47" s="10">
        <v>1</v>
      </c>
      <c r="F47" s="10">
        <v>1</v>
      </c>
      <c r="G47" s="10">
        <v>48</v>
      </c>
    </row>
    <row r="48" spans="1:10">
      <c r="A48" s="21"/>
      <c r="B48" s="39"/>
      <c r="C48" s="42"/>
      <c r="D48" s="10">
        <v>0.89359999999999995</v>
      </c>
      <c r="E48" s="10">
        <v>1</v>
      </c>
      <c r="F48" s="10">
        <v>1</v>
      </c>
      <c r="G48" s="10">
        <v>47</v>
      </c>
    </row>
    <row r="49" spans="1:11">
      <c r="A49" s="21"/>
      <c r="B49" s="6"/>
    </row>
    <row r="50" spans="1:11" ht="15" customHeight="1">
      <c r="A50" s="21"/>
      <c r="B50" s="6"/>
      <c r="C50" s="5"/>
      <c r="D50" s="5" t="s">
        <v>77</v>
      </c>
      <c r="E50" s="5" t="s">
        <v>78</v>
      </c>
      <c r="F50" s="5" t="s">
        <v>86</v>
      </c>
      <c r="G50" s="5" t="s">
        <v>87</v>
      </c>
    </row>
    <row r="51" spans="1:11">
      <c r="A51" s="21"/>
      <c r="B51" s="35" t="s">
        <v>88</v>
      </c>
      <c r="C51" s="40" t="s">
        <v>15</v>
      </c>
      <c r="D51" s="10">
        <v>0.83330000000000004</v>
      </c>
      <c r="E51" s="10">
        <v>0.97919999999999996</v>
      </c>
      <c r="F51" s="10">
        <v>1</v>
      </c>
      <c r="G51" s="10">
        <v>48</v>
      </c>
      <c r="I51" s="10" t="s">
        <v>15</v>
      </c>
      <c r="J51" s="19">
        <f>AVERAGE(D51:D53)</f>
        <v>0.92359999999999998</v>
      </c>
    </row>
    <row r="52" spans="1:11">
      <c r="A52" s="21"/>
      <c r="B52" s="36"/>
      <c r="C52" s="41"/>
      <c r="D52" s="10">
        <v>0.9375</v>
      </c>
      <c r="E52" s="10">
        <v>1</v>
      </c>
      <c r="F52" s="10">
        <v>1</v>
      </c>
      <c r="G52" s="10">
        <v>48</v>
      </c>
    </row>
    <row r="53" spans="1:11">
      <c r="A53" s="21"/>
      <c r="B53" s="37"/>
      <c r="C53" s="42"/>
      <c r="D53" s="10">
        <v>1</v>
      </c>
      <c r="E53" s="10">
        <v>1</v>
      </c>
      <c r="F53" s="10">
        <v>1</v>
      </c>
      <c r="G53" s="10">
        <v>48</v>
      </c>
    </row>
    <row r="54" spans="1:11">
      <c r="A54" s="21"/>
      <c r="B54" s="6"/>
    </row>
    <row r="55" spans="1:11">
      <c r="A55" s="21"/>
      <c r="B55" s="38" t="s">
        <v>89</v>
      </c>
      <c r="C55" s="10" t="s">
        <v>3</v>
      </c>
      <c r="D55" s="10">
        <v>0.81320000000000003</v>
      </c>
      <c r="E55" s="10">
        <v>0.94510000000000005</v>
      </c>
      <c r="F55" s="10">
        <v>0.98899999999999999</v>
      </c>
      <c r="G55" s="10">
        <v>91</v>
      </c>
      <c r="I55" s="10" t="s">
        <v>3</v>
      </c>
      <c r="J55" s="16">
        <f>AVERAGE(D55,D61)</f>
        <v>0.82879999999999998</v>
      </c>
    </row>
    <row r="56" spans="1:11">
      <c r="A56" s="21"/>
      <c r="B56" s="38"/>
      <c r="C56" s="10" t="s">
        <v>13</v>
      </c>
      <c r="D56" s="10">
        <v>0.89190000000000003</v>
      </c>
      <c r="E56" s="10">
        <v>0.97299999999999998</v>
      </c>
      <c r="F56" s="10">
        <v>0.97299999999999998</v>
      </c>
      <c r="G56" s="10">
        <v>74</v>
      </c>
      <c r="I56" s="10" t="s">
        <v>13</v>
      </c>
      <c r="J56" s="16">
        <f>AVERAGE(D56,D62)</f>
        <v>0.89190000000000003</v>
      </c>
    </row>
    <row r="57" spans="1:11">
      <c r="A57" s="21"/>
      <c r="B57" s="38"/>
      <c r="C57" s="10" t="s">
        <v>14</v>
      </c>
      <c r="D57" s="10">
        <v>1</v>
      </c>
      <c r="E57" s="10">
        <v>1</v>
      </c>
      <c r="F57" s="10">
        <v>1</v>
      </c>
      <c r="G57" s="10">
        <v>109</v>
      </c>
      <c r="I57" s="10" t="s">
        <v>14</v>
      </c>
      <c r="J57" s="16">
        <f t="shared" ref="J57:J60" si="0">AVERAGE(D57,D63)</f>
        <v>1</v>
      </c>
    </row>
    <row r="58" spans="1:11">
      <c r="A58" s="21"/>
      <c r="B58" s="38"/>
      <c r="C58" s="10" t="s">
        <v>5</v>
      </c>
      <c r="D58" s="10">
        <v>0.85850000000000004</v>
      </c>
      <c r="E58" s="10">
        <v>0.95279999999999998</v>
      </c>
      <c r="F58" s="10">
        <v>0.99060000000000004</v>
      </c>
      <c r="G58" s="10">
        <v>106</v>
      </c>
      <c r="I58" s="10" t="s">
        <v>5</v>
      </c>
      <c r="J58" s="16">
        <f t="shared" si="0"/>
        <v>0.86444999999999994</v>
      </c>
      <c r="K58" s="7"/>
    </row>
    <row r="59" spans="1:11">
      <c r="A59" s="21"/>
      <c r="B59" s="38"/>
      <c r="C59" s="10" t="s">
        <v>16</v>
      </c>
      <c r="D59" s="10">
        <v>0.75270000000000004</v>
      </c>
      <c r="E59" s="10">
        <v>0.9032</v>
      </c>
      <c r="F59" s="10">
        <v>0.94620000000000004</v>
      </c>
      <c r="G59" s="10">
        <v>93</v>
      </c>
      <c r="I59" s="10" t="s">
        <v>16</v>
      </c>
      <c r="J59" s="16">
        <f t="shared" si="0"/>
        <v>0.7722</v>
      </c>
      <c r="K59" s="7"/>
    </row>
    <row r="60" spans="1:11">
      <c r="A60" s="21"/>
      <c r="B60" s="38"/>
      <c r="C60" s="10" t="s">
        <v>4</v>
      </c>
      <c r="D60" s="10">
        <v>0.9425</v>
      </c>
      <c r="E60" s="10">
        <v>0.98850000000000005</v>
      </c>
      <c r="F60" s="10">
        <v>0.98850000000000005</v>
      </c>
      <c r="G60" s="10">
        <v>87</v>
      </c>
      <c r="I60" s="10" t="s">
        <v>4</v>
      </c>
      <c r="J60" s="16">
        <f t="shared" si="0"/>
        <v>0.93714999999999993</v>
      </c>
    </row>
    <row r="61" spans="1:11">
      <c r="A61" s="21"/>
      <c r="B61" s="39" t="s">
        <v>90</v>
      </c>
      <c r="C61" s="10" t="s">
        <v>3</v>
      </c>
      <c r="D61" s="10">
        <v>0.84440000000000004</v>
      </c>
      <c r="E61" s="10">
        <v>1</v>
      </c>
      <c r="F61" s="10">
        <v>1</v>
      </c>
      <c r="G61" s="10">
        <v>45</v>
      </c>
      <c r="I61" s="8" t="s">
        <v>19</v>
      </c>
      <c r="J61" s="19">
        <f>AVERAGE(J55:J60)</f>
        <v>0.88241666666666652</v>
      </c>
    </row>
    <row r="62" spans="1:11">
      <c r="A62" s="21"/>
      <c r="B62" s="39"/>
      <c r="C62" s="10" t="s">
        <v>13</v>
      </c>
      <c r="D62" s="10">
        <v>0.89190000000000003</v>
      </c>
      <c r="E62" s="10">
        <v>0.97299999999999998</v>
      </c>
      <c r="F62" s="10">
        <v>0.97299999999999998</v>
      </c>
      <c r="G62" s="10">
        <v>37</v>
      </c>
    </row>
    <row r="63" spans="1:11">
      <c r="A63" s="21"/>
      <c r="B63" s="39"/>
      <c r="C63" s="10" t="s">
        <v>14</v>
      </c>
      <c r="D63" s="10">
        <v>1</v>
      </c>
      <c r="E63" s="10">
        <v>1</v>
      </c>
      <c r="F63" s="10">
        <v>1</v>
      </c>
      <c r="G63" s="10">
        <v>45</v>
      </c>
    </row>
    <row r="64" spans="1:11">
      <c r="A64" s="21"/>
      <c r="B64" s="39"/>
      <c r="C64" s="10" t="s">
        <v>5</v>
      </c>
      <c r="D64" s="10">
        <v>0.87039999999999995</v>
      </c>
      <c r="E64" s="10">
        <v>0.96299999999999997</v>
      </c>
      <c r="F64" s="10">
        <v>1</v>
      </c>
      <c r="G64" s="10">
        <v>54</v>
      </c>
    </row>
    <row r="65" spans="1:7">
      <c r="A65" s="21"/>
      <c r="B65" s="39"/>
      <c r="C65" s="10" t="s">
        <v>16</v>
      </c>
      <c r="D65" s="10">
        <v>0.79169999999999996</v>
      </c>
      <c r="E65" s="10">
        <v>0.875</v>
      </c>
      <c r="F65" s="10">
        <v>0.91669999999999996</v>
      </c>
      <c r="G65" s="10">
        <v>48</v>
      </c>
    </row>
    <row r="66" spans="1:7">
      <c r="A66" s="21"/>
      <c r="B66" s="39"/>
      <c r="C66" s="10" t="s">
        <v>4</v>
      </c>
      <c r="D66" s="10">
        <v>0.93179999999999996</v>
      </c>
      <c r="E66" s="10">
        <v>0.97729999999999995</v>
      </c>
      <c r="F66" s="10">
        <v>0.97729999999999995</v>
      </c>
      <c r="G66" s="10">
        <v>44</v>
      </c>
    </row>
    <row r="67" spans="1:7">
      <c r="A67" s="21"/>
      <c r="B67" s="6"/>
    </row>
    <row r="68" spans="1:7" ht="15" customHeight="1">
      <c r="A68" s="21"/>
      <c r="B68" s="38"/>
      <c r="C68" s="20" t="s">
        <v>81</v>
      </c>
      <c r="D68" s="20"/>
      <c r="E68" s="20"/>
      <c r="F68" s="20"/>
      <c r="G68" s="20"/>
    </row>
    <row r="69" spans="1:7">
      <c r="A69" s="21"/>
      <c r="B69" s="38"/>
      <c r="C69" s="20"/>
      <c r="D69" s="20"/>
      <c r="E69" s="20"/>
      <c r="F69" s="20"/>
      <c r="G69" s="20"/>
    </row>
    <row r="70" spans="1:7">
      <c r="A70" s="21"/>
      <c r="B70" s="38"/>
      <c r="C70" s="20"/>
      <c r="D70" s="20"/>
      <c r="E70" s="20"/>
      <c r="F70" s="20"/>
      <c r="G70" s="20"/>
    </row>
    <row r="71" spans="1:7">
      <c r="A71" s="21"/>
      <c r="B71" s="38"/>
      <c r="C71" s="20"/>
      <c r="D71" s="20"/>
      <c r="E71" s="20"/>
      <c r="F71" s="20"/>
      <c r="G71" s="20"/>
    </row>
    <row r="72" spans="1:7">
      <c r="A72" s="21"/>
      <c r="B72" s="38"/>
      <c r="C72" s="20"/>
      <c r="D72" s="20"/>
      <c r="E72" s="20"/>
      <c r="F72" s="20"/>
      <c r="G72" s="20"/>
    </row>
    <row r="73" spans="1:7">
      <c r="A73" s="21"/>
      <c r="B73" s="38"/>
      <c r="C73" s="20"/>
      <c r="D73" s="20"/>
      <c r="E73" s="20"/>
      <c r="F73" s="20"/>
      <c r="G73" s="20"/>
    </row>
    <row r="74" spans="1:7">
      <c r="A74" s="21"/>
      <c r="B74" s="38"/>
      <c r="C74" s="20"/>
      <c r="D74" s="20"/>
      <c r="E74" s="20"/>
      <c r="F74" s="20"/>
      <c r="G74" s="20"/>
    </row>
    <row r="75" spans="1:7">
      <c r="A75" s="21"/>
      <c r="B75" s="38"/>
      <c r="C75" s="20"/>
      <c r="D75" s="20"/>
      <c r="E75" s="20"/>
      <c r="F75" s="20"/>
      <c r="G75" s="20"/>
    </row>
    <row r="76" spans="1:7">
      <c r="A76" s="21"/>
      <c r="B76" s="38"/>
      <c r="C76" s="20"/>
      <c r="D76" s="20"/>
      <c r="E76" s="20"/>
      <c r="F76" s="20"/>
      <c r="G76" s="20"/>
    </row>
    <row r="77" spans="1:7">
      <c r="A77" s="21"/>
      <c r="B77" s="38"/>
      <c r="C77" s="20"/>
      <c r="D77" s="20"/>
      <c r="E77" s="20"/>
      <c r="F77" s="20"/>
      <c r="G77" s="20"/>
    </row>
    <row r="78" spans="1:7">
      <c r="A78" s="21"/>
      <c r="B78" s="38"/>
      <c r="C78" s="20"/>
      <c r="D78" s="20"/>
      <c r="E78" s="20"/>
      <c r="F78" s="20"/>
      <c r="G78" s="20"/>
    </row>
    <row r="79" spans="1:7">
      <c r="A79" s="21"/>
      <c r="B79" s="38"/>
      <c r="C79" s="20"/>
      <c r="D79" s="20"/>
      <c r="E79" s="20"/>
      <c r="F79" s="20"/>
      <c r="G79" s="20"/>
    </row>
    <row r="80" spans="1:7">
      <c r="A80" s="21"/>
      <c r="B80" s="38"/>
      <c r="C80" s="20"/>
      <c r="D80" s="20"/>
      <c r="E80" s="20"/>
      <c r="F80" s="20"/>
      <c r="G80" s="20"/>
    </row>
    <row r="81" spans="1:11">
      <c r="A81" s="21"/>
      <c r="B81" s="38"/>
      <c r="C81" s="20"/>
      <c r="D81" s="20"/>
      <c r="E81" s="20"/>
      <c r="F81" s="20"/>
      <c r="G81" s="20"/>
    </row>
    <row r="82" spans="1:11">
      <c r="A82" s="21"/>
      <c r="B82" s="38"/>
      <c r="C82" s="20"/>
      <c r="D82" s="20"/>
      <c r="E82" s="20"/>
      <c r="F82" s="20"/>
      <c r="G82" s="20"/>
    </row>
    <row r="83" spans="1:11">
      <c r="A83" s="21"/>
      <c r="B83" s="38"/>
      <c r="C83" s="20"/>
      <c r="D83" s="20"/>
      <c r="E83" s="20"/>
      <c r="F83" s="20"/>
      <c r="G83" s="20"/>
    </row>
    <row r="84" spans="1:11">
      <c r="A84" s="12"/>
      <c r="B84" s="6"/>
    </row>
    <row r="85" spans="1:11">
      <c r="A85" s="12"/>
      <c r="B85" s="6"/>
    </row>
    <row r="86" spans="1:11">
      <c r="A86" s="12"/>
      <c r="B86" s="6"/>
    </row>
    <row r="87" spans="1:11">
      <c r="A87" s="12"/>
      <c r="B87" s="6"/>
    </row>
    <row r="88" spans="1:11">
      <c r="A88" s="12"/>
      <c r="B88" s="13"/>
      <c r="C88" s="14"/>
      <c r="D88" s="14"/>
      <c r="E88" s="15"/>
      <c r="F88" s="14"/>
      <c r="G88" s="14"/>
    </row>
    <row r="90" spans="1:11">
      <c r="A90" s="20" t="s">
        <v>61</v>
      </c>
      <c r="B90" s="39" t="s">
        <v>41</v>
      </c>
      <c r="C90" s="5"/>
      <c r="D90" s="5" t="s">
        <v>6</v>
      </c>
      <c r="E90" s="5" t="s">
        <v>7</v>
      </c>
      <c r="F90" s="5" t="s">
        <v>8</v>
      </c>
      <c r="G90" s="5" t="s">
        <v>9</v>
      </c>
      <c r="I90" s="20" t="s">
        <v>68</v>
      </c>
      <c r="J90" s="20"/>
      <c r="K90" s="20"/>
    </row>
    <row r="91" spans="1:11">
      <c r="A91" s="20"/>
      <c r="B91" s="39"/>
      <c r="C91" s="8" t="s">
        <v>34</v>
      </c>
      <c r="D91" s="8">
        <v>0.97440000000000004</v>
      </c>
      <c r="E91" s="8">
        <v>0.84440000000000004</v>
      </c>
      <c r="F91" s="8">
        <v>0.90480000000000005</v>
      </c>
      <c r="G91" s="8">
        <v>45</v>
      </c>
      <c r="I91" s="20"/>
      <c r="J91" s="20"/>
      <c r="K91" s="20"/>
    </row>
    <row r="92" spans="1:11">
      <c r="A92" s="20"/>
      <c r="B92" s="39"/>
      <c r="C92" s="8" t="s">
        <v>35</v>
      </c>
      <c r="D92" s="8">
        <v>0.9778</v>
      </c>
      <c r="E92" s="8">
        <v>0.9778</v>
      </c>
      <c r="F92" s="8">
        <v>0.9778</v>
      </c>
      <c r="G92" s="8">
        <v>45</v>
      </c>
      <c r="I92" s="20"/>
      <c r="J92" s="20"/>
      <c r="K92" s="20"/>
    </row>
    <row r="93" spans="1:11">
      <c r="A93" s="20"/>
      <c r="B93" s="39"/>
      <c r="C93" s="8" t="s">
        <v>36</v>
      </c>
      <c r="D93" s="8">
        <v>0.95830000000000004</v>
      </c>
      <c r="E93" s="8">
        <v>0.97870000000000001</v>
      </c>
      <c r="F93" s="8">
        <v>0.96840000000000004</v>
      </c>
      <c r="G93" s="8">
        <v>47</v>
      </c>
      <c r="I93" s="20"/>
      <c r="J93" s="20"/>
      <c r="K93" s="20"/>
    </row>
    <row r="94" spans="1:11">
      <c r="A94" s="20"/>
      <c r="B94" s="39"/>
      <c r="C94" s="8" t="s">
        <v>37</v>
      </c>
      <c r="D94" s="8">
        <v>0.93620000000000003</v>
      </c>
      <c r="E94" s="8">
        <v>0.91669999999999996</v>
      </c>
      <c r="F94" s="8">
        <v>0.92630000000000001</v>
      </c>
      <c r="G94" s="8">
        <v>48</v>
      </c>
      <c r="I94" s="20"/>
      <c r="J94" s="20"/>
      <c r="K94" s="20"/>
    </row>
    <row r="95" spans="1:11">
      <c r="A95" s="20"/>
      <c r="B95" s="39"/>
      <c r="C95" s="8" t="s">
        <v>38</v>
      </c>
      <c r="D95" s="8">
        <v>0.97829999999999995</v>
      </c>
      <c r="E95" s="8">
        <v>0.97829999999999995</v>
      </c>
      <c r="F95" s="8">
        <v>0.97829999999999995</v>
      </c>
      <c r="G95" s="8">
        <v>46</v>
      </c>
      <c r="I95" s="20"/>
      <c r="J95" s="20"/>
      <c r="K95" s="20"/>
    </row>
    <row r="96" spans="1:11">
      <c r="A96" s="20"/>
      <c r="B96" s="39"/>
      <c r="C96" s="8" t="s">
        <v>1</v>
      </c>
      <c r="D96" s="8">
        <v>0.68520000000000003</v>
      </c>
      <c r="E96" s="8">
        <v>0.84089999999999998</v>
      </c>
      <c r="F96" s="8">
        <v>0.75509999999999999</v>
      </c>
      <c r="G96" s="8">
        <v>44</v>
      </c>
      <c r="I96" s="20"/>
      <c r="J96" s="20"/>
      <c r="K96" s="20"/>
    </row>
    <row r="97" spans="1:14">
      <c r="A97" s="20"/>
      <c r="B97" s="39"/>
      <c r="C97" s="8" t="s">
        <v>39</v>
      </c>
      <c r="D97" s="8">
        <v>0.91669999999999996</v>
      </c>
      <c r="E97" s="8">
        <v>0.9778</v>
      </c>
      <c r="F97" s="8">
        <v>0.94620000000000004</v>
      </c>
      <c r="G97" s="8">
        <v>45</v>
      </c>
      <c r="I97" s="20"/>
      <c r="J97" s="20"/>
      <c r="K97" s="20"/>
    </row>
    <row r="98" spans="1:14">
      <c r="A98" s="20"/>
      <c r="B98" s="39"/>
      <c r="C98" s="8" t="s">
        <v>2</v>
      </c>
      <c r="D98" s="8">
        <v>0.95650000000000002</v>
      </c>
      <c r="E98" s="8">
        <v>0.95650000000000002</v>
      </c>
      <c r="F98" s="8">
        <v>0.95650000000000002</v>
      </c>
      <c r="G98" s="8">
        <v>46</v>
      </c>
      <c r="I98" s="20"/>
      <c r="J98" s="20"/>
      <c r="K98" s="20"/>
    </row>
    <row r="99" spans="1:14">
      <c r="A99" s="20"/>
      <c r="B99" s="39"/>
      <c r="C99" s="8" t="s">
        <v>0</v>
      </c>
      <c r="D99" s="8">
        <v>0.97060000000000002</v>
      </c>
      <c r="E99" s="8">
        <v>0.71740000000000004</v>
      </c>
      <c r="F99" s="8">
        <v>0.82499999999999996</v>
      </c>
      <c r="G99" s="8">
        <v>46</v>
      </c>
      <c r="I99" s="20"/>
      <c r="J99" s="20"/>
      <c r="K99" s="20"/>
    </row>
    <row r="100" spans="1:14">
      <c r="A100" s="20"/>
      <c r="B100" s="39"/>
      <c r="C100" s="8" t="s">
        <v>40</v>
      </c>
      <c r="D100" s="8">
        <v>0.8679</v>
      </c>
      <c r="E100" s="8">
        <v>0.95830000000000004</v>
      </c>
      <c r="F100" s="8">
        <v>0.91090000000000004</v>
      </c>
      <c r="G100" s="8">
        <v>48</v>
      </c>
      <c r="I100" s="20"/>
      <c r="J100" s="20"/>
      <c r="K100" s="20"/>
    </row>
    <row r="101" spans="1:14">
      <c r="A101" s="20"/>
      <c r="B101" s="39"/>
      <c r="C101" s="8"/>
      <c r="D101" s="8"/>
      <c r="E101" s="8"/>
      <c r="F101" s="8"/>
      <c r="G101" s="8"/>
      <c r="I101" s="20"/>
      <c r="J101" s="20"/>
      <c r="K101" s="20"/>
    </row>
    <row r="102" spans="1:14">
      <c r="A102" s="20"/>
      <c r="B102" s="39"/>
      <c r="C102" s="8" t="s">
        <v>17</v>
      </c>
      <c r="D102" s="8"/>
      <c r="E102" s="8"/>
      <c r="F102" s="9">
        <v>0.91520000000000001</v>
      </c>
      <c r="G102" s="8">
        <v>460</v>
      </c>
    </row>
    <row r="103" spans="1:14">
      <c r="A103" s="20"/>
      <c r="B103" s="39"/>
      <c r="C103" s="8" t="s">
        <v>18</v>
      </c>
      <c r="D103" s="8">
        <v>0.92220000000000002</v>
      </c>
      <c r="E103" s="8">
        <v>0.91469999999999996</v>
      </c>
      <c r="F103" s="8">
        <v>0.91490000000000005</v>
      </c>
      <c r="G103" s="8">
        <v>460</v>
      </c>
    </row>
    <row r="104" spans="1:14">
      <c r="A104" s="20"/>
      <c r="B104" s="39"/>
      <c r="C104" s="8" t="s">
        <v>20</v>
      </c>
      <c r="D104" s="8">
        <v>0.92290000000000005</v>
      </c>
      <c r="E104" s="8">
        <v>0.91520000000000001</v>
      </c>
      <c r="F104" s="8">
        <v>0.91559999999999997</v>
      </c>
      <c r="G104" s="8">
        <v>460</v>
      </c>
    </row>
    <row r="105" spans="1:14">
      <c r="A105" s="20"/>
    </row>
    <row r="106" spans="1:14">
      <c r="A106" s="20"/>
      <c r="B106" s="39" t="s">
        <v>42</v>
      </c>
      <c r="C106" s="5"/>
      <c r="D106" s="5" t="s">
        <v>6</v>
      </c>
      <c r="E106" s="5" t="s">
        <v>7</v>
      </c>
      <c r="F106" s="5" t="s">
        <v>8</v>
      </c>
      <c r="G106" s="5" t="s">
        <v>9</v>
      </c>
      <c r="I106" s="20" t="s">
        <v>67</v>
      </c>
      <c r="J106" s="20"/>
      <c r="K106" s="20"/>
      <c r="M106" s="8" t="s">
        <v>41</v>
      </c>
      <c r="N106" s="16">
        <f>F102</f>
        <v>0.91520000000000001</v>
      </c>
    </row>
    <row r="107" spans="1:14">
      <c r="A107" s="20"/>
      <c r="B107" s="39"/>
      <c r="C107" s="8" t="s">
        <v>34</v>
      </c>
      <c r="D107" s="8">
        <v>0.95920000000000005</v>
      </c>
      <c r="E107" s="8">
        <v>1</v>
      </c>
      <c r="F107" s="8">
        <v>0.97919999999999996</v>
      </c>
      <c r="G107" s="8">
        <v>47</v>
      </c>
      <c r="I107" s="20"/>
      <c r="J107" s="20"/>
      <c r="K107" s="20"/>
      <c r="M107" s="8" t="s">
        <v>42</v>
      </c>
      <c r="N107" s="16">
        <f>F118</f>
        <v>0.92269999999999996</v>
      </c>
    </row>
    <row r="108" spans="1:14">
      <c r="A108" s="20"/>
      <c r="B108" s="39"/>
      <c r="C108" s="8" t="s">
        <v>35</v>
      </c>
      <c r="D108" s="8">
        <v>1</v>
      </c>
      <c r="E108" s="8">
        <v>1</v>
      </c>
      <c r="F108" s="8">
        <v>1</v>
      </c>
      <c r="G108" s="8">
        <v>46</v>
      </c>
      <c r="I108" s="20"/>
      <c r="J108" s="20"/>
      <c r="K108" s="20"/>
      <c r="M108" s="8" t="s">
        <v>43</v>
      </c>
      <c r="N108" s="19">
        <f>F134</f>
        <v>0.92159999999999997</v>
      </c>
    </row>
    <row r="109" spans="1:14">
      <c r="A109" s="20"/>
      <c r="B109" s="39"/>
      <c r="C109" s="8" t="s">
        <v>36</v>
      </c>
      <c r="D109" s="8">
        <v>0.83330000000000004</v>
      </c>
      <c r="E109" s="8">
        <v>0.95740000000000003</v>
      </c>
      <c r="F109" s="8">
        <v>0.8911</v>
      </c>
      <c r="G109" s="8">
        <v>47</v>
      </c>
      <c r="I109" s="20"/>
      <c r="J109" s="20"/>
      <c r="K109" s="20"/>
      <c r="M109" s="8" t="s">
        <v>44</v>
      </c>
      <c r="N109" s="19">
        <f>F150</f>
        <v>0.90439999999999998</v>
      </c>
    </row>
    <row r="110" spans="1:14">
      <c r="A110" s="20"/>
      <c r="B110" s="39"/>
      <c r="C110" s="8" t="s">
        <v>37</v>
      </c>
      <c r="D110" s="8">
        <v>0.93879999999999997</v>
      </c>
      <c r="E110" s="8">
        <v>0.97870000000000001</v>
      </c>
      <c r="F110" s="8">
        <v>0.95830000000000004</v>
      </c>
      <c r="G110" s="8">
        <v>47</v>
      </c>
      <c r="I110" s="20"/>
      <c r="J110" s="20"/>
      <c r="K110" s="20"/>
    </row>
    <row r="111" spans="1:14">
      <c r="A111" s="20"/>
      <c r="B111" s="39"/>
      <c r="C111" s="8" t="s">
        <v>38</v>
      </c>
      <c r="D111" s="8">
        <v>0.97829999999999995</v>
      </c>
      <c r="E111" s="8">
        <v>0.95740000000000003</v>
      </c>
      <c r="F111" s="8">
        <v>0.9677</v>
      </c>
      <c r="G111" s="8">
        <v>47</v>
      </c>
      <c r="I111" s="20"/>
      <c r="J111" s="20"/>
      <c r="K111" s="20"/>
    </row>
    <row r="112" spans="1:14">
      <c r="A112" s="20"/>
      <c r="B112" s="39"/>
      <c r="C112" s="8" t="s">
        <v>1</v>
      </c>
      <c r="D112" s="8">
        <v>1</v>
      </c>
      <c r="E112" s="8">
        <v>0.82979999999999998</v>
      </c>
      <c r="F112" s="8">
        <v>0.90700000000000003</v>
      </c>
      <c r="G112" s="8">
        <v>47</v>
      </c>
      <c r="I112" s="20"/>
      <c r="J112" s="20"/>
      <c r="K112" s="20"/>
    </row>
    <row r="113" spans="1:11">
      <c r="A113" s="20"/>
      <c r="B113" s="39"/>
      <c r="C113" s="8" t="s">
        <v>39</v>
      </c>
      <c r="D113" s="8">
        <v>0.9</v>
      </c>
      <c r="E113" s="8">
        <v>0.97829999999999995</v>
      </c>
      <c r="F113" s="8">
        <v>0.9375</v>
      </c>
      <c r="G113" s="8">
        <v>46</v>
      </c>
      <c r="I113" s="20"/>
      <c r="J113" s="20"/>
      <c r="K113" s="20"/>
    </row>
    <row r="114" spans="1:11">
      <c r="A114" s="20"/>
      <c r="B114" s="39"/>
      <c r="C114" s="8" t="s">
        <v>2</v>
      </c>
      <c r="D114" s="8">
        <v>0.91110000000000002</v>
      </c>
      <c r="E114" s="8">
        <v>0.89129999999999998</v>
      </c>
      <c r="F114" s="8">
        <v>0.90110000000000001</v>
      </c>
      <c r="G114" s="8">
        <v>46</v>
      </c>
      <c r="I114" s="20"/>
      <c r="J114" s="20"/>
      <c r="K114" s="20"/>
    </row>
    <row r="115" spans="1:11">
      <c r="A115" s="20"/>
      <c r="B115" s="39"/>
      <c r="C115" s="8" t="s">
        <v>0</v>
      </c>
      <c r="D115" s="8">
        <v>0.91890000000000005</v>
      </c>
      <c r="E115" s="8">
        <v>0.73909999999999998</v>
      </c>
      <c r="F115" s="8">
        <v>0.81930000000000003</v>
      </c>
      <c r="G115" s="8">
        <v>46</v>
      </c>
      <c r="I115" s="20"/>
      <c r="J115" s="20"/>
      <c r="K115" s="20"/>
    </row>
    <row r="116" spans="1:11">
      <c r="A116" s="20"/>
      <c r="B116" s="39"/>
      <c r="C116" s="8" t="s">
        <v>40</v>
      </c>
      <c r="D116" s="8">
        <v>0.82350000000000001</v>
      </c>
      <c r="E116" s="8">
        <v>0.89359999999999995</v>
      </c>
      <c r="F116" s="8">
        <v>0.85709999999999997</v>
      </c>
      <c r="G116" s="8">
        <v>47</v>
      </c>
      <c r="I116" s="20"/>
      <c r="J116" s="20"/>
      <c r="K116" s="20"/>
    </row>
    <row r="117" spans="1:11">
      <c r="A117" s="20"/>
      <c r="B117" s="39"/>
      <c r="C117" s="8"/>
      <c r="D117" s="8"/>
      <c r="E117" s="8"/>
      <c r="F117" s="8"/>
      <c r="G117" s="8"/>
      <c r="I117" s="20"/>
      <c r="J117" s="20"/>
      <c r="K117" s="20"/>
    </row>
    <row r="118" spans="1:11">
      <c r="A118" s="20"/>
      <c r="B118" s="39"/>
      <c r="C118" s="8" t="s">
        <v>17</v>
      </c>
      <c r="D118" s="8"/>
      <c r="E118" s="8"/>
      <c r="F118" s="9">
        <v>0.92269999999999996</v>
      </c>
      <c r="G118" s="8">
        <v>466</v>
      </c>
    </row>
    <row r="119" spans="1:11">
      <c r="A119" s="20"/>
      <c r="B119" s="39"/>
      <c r="C119" s="8" t="s">
        <v>18</v>
      </c>
      <c r="D119" s="8">
        <v>0.92630000000000001</v>
      </c>
      <c r="E119" s="8">
        <v>0.92259999999999998</v>
      </c>
      <c r="F119" s="8">
        <v>0.92179999999999995</v>
      </c>
      <c r="G119" s="8">
        <v>466</v>
      </c>
    </row>
    <row r="120" spans="1:11">
      <c r="A120" s="20"/>
      <c r="B120" s="39"/>
      <c r="C120" s="8" t="s">
        <v>20</v>
      </c>
      <c r="D120" s="8">
        <v>0.92630000000000001</v>
      </c>
      <c r="E120" s="8">
        <v>0.92269999999999996</v>
      </c>
      <c r="F120" s="8">
        <v>0.92190000000000005</v>
      </c>
      <c r="G120" s="8">
        <v>466</v>
      </c>
    </row>
    <row r="121" spans="1:11" ht="15" customHeight="1">
      <c r="A121" s="20"/>
    </row>
    <row r="122" spans="1:11">
      <c r="A122" s="20"/>
      <c r="B122" s="39" t="s">
        <v>59</v>
      </c>
      <c r="C122" s="5"/>
      <c r="D122" s="5" t="s">
        <v>6</v>
      </c>
      <c r="E122" s="5" t="s">
        <v>7</v>
      </c>
      <c r="F122" s="5" t="s">
        <v>8</v>
      </c>
      <c r="G122" s="5" t="s">
        <v>9</v>
      </c>
      <c r="I122" s="20" t="s">
        <v>69</v>
      </c>
      <c r="J122" s="20"/>
      <c r="K122" s="20"/>
    </row>
    <row r="123" spans="1:11">
      <c r="A123" s="20"/>
      <c r="B123" s="39"/>
      <c r="C123" s="8" t="s">
        <v>34</v>
      </c>
      <c r="D123" s="8">
        <v>1</v>
      </c>
      <c r="E123" s="8">
        <v>1</v>
      </c>
      <c r="F123" s="8">
        <v>1</v>
      </c>
      <c r="G123" s="8">
        <v>46</v>
      </c>
      <c r="I123" s="20"/>
      <c r="J123" s="20"/>
      <c r="K123" s="20"/>
    </row>
    <row r="124" spans="1:11">
      <c r="A124" s="20"/>
      <c r="B124" s="39"/>
      <c r="C124" s="8" t="s">
        <v>35</v>
      </c>
      <c r="D124" s="8">
        <v>0.89739999999999998</v>
      </c>
      <c r="E124" s="8">
        <v>0.74470000000000003</v>
      </c>
      <c r="F124" s="8">
        <v>0.81399999999999995</v>
      </c>
      <c r="G124" s="8">
        <v>47</v>
      </c>
      <c r="I124" s="20"/>
      <c r="J124" s="20"/>
      <c r="K124" s="20"/>
    </row>
    <row r="125" spans="1:11">
      <c r="A125" s="20"/>
      <c r="B125" s="39"/>
      <c r="C125" s="8" t="s">
        <v>36</v>
      </c>
      <c r="D125" s="8">
        <v>1</v>
      </c>
      <c r="E125" s="8">
        <v>0.78720000000000001</v>
      </c>
      <c r="F125" s="8">
        <v>0.88100000000000001</v>
      </c>
      <c r="G125" s="8">
        <v>47</v>
      </c>
      <c r="I125" s="20"/>
      <c r="J125" s="20"/>
      <c r="K125" s="20"/>
    </row>
    <row r="126" spans="1:11">
      <c r="A126" s="20"/>
      <c r="B126" s="39"/>
      <c r="C126" s="8" t="s">
        <v>37</v>
      </c>
      <c r="D126" s="8">
        <v>1</v>
      </c>
      <c r="E126" s="8">
        <v>0.95120000000000005</v>
      </c>
      <c r="F126" s="8">
        <v>0.97499999999999998</v>
      </c>
      <c r="G126" s="8">
        <v>41</v>
      </c>
      <c r="I126" s="20"/>
      <c r="J126" s="20"/>
      <c r="K126" s="20"/>
    </row>
    <row r="127" spans="1:11">
      <c r="A127" s="20"/>
      <c r="B127" s="39"/>
      <c r="C127" s="8" t="s">
        <v>38</v>
      </c>
      <c r="D127" s="8">
        <v>0.97870000000000001</v>
      </c>
      <c r="E127" s="8">
        <v>1</v>
      </c>
      <c r="F127" s="8">
        <v>0.98919999999999997</v>
      </c>
      <c r="G127" s="8">
        <v>46</v>
      </c>
      <c r="I127" s="20"/>
      <c r="J127" s="20"/>
      <c r="K127" s="20"/>
    </row>
    <row r="128" spans="1:11">
      <c r="A128" s="20"/>
      <c r="B128" s="39"/>
      <c r="C128" s="8" t="s">
        <v>1</v>
      </c>
      <c r="D128" s="8">
        <v>0.76790000000000003</v>
      </c>
      <c r="E128" s="8">
        <v>1</v>
      </c>
      <c r="F128" s="8">
        <v>0.86870000000000003</v>
      </c>
      <c r="G128" s="8">
        <v>43</v>
      </c>
      <c r="I128" s="20"/>
      <c r="J128" s="20"/>
      <c r="K128" s="20"/>
    </row>
    <row r="129" spans="1:11">
      <c r="A129" s="20"/>
      <c r="B129" s="39"/>
      <c r="C129" s="8" t="s">
        <v>39</v>
      </c>
      <c r="D129" s="8">
        <v>1</v>
      </c>
      <c r="E129" s="8">
        <v>1</v>
      </c>
      <c r="F129" s="8">
        <v>1</v>
      </c>
      <c r="G129" s="8">
        <v>47</v>
      </c>
      <c r="I129" s="20"/>
      <c r="J129" s="20"/>
      <c r="K129" s="20"/>
    </row>
    <row r="130" spans="1:11">
      <c r="A130" s="20"/>
      <c r="B130" s="39"/>
      <c r="C130" s="8" t="s">
        <v>2</v>
      </c>
      <c r="D130" s="8">
        <v>1</v>
      </c>
      <c r="E130" s="8">
        <v>1</v>
      </c>
      <c r="F130" s="8">
        <v>1</v>
      </c>
      <c r="G130" s="8">
        <v>47</v>
      </c>
      <c r="I130" s="20"/>
      <c r="J130" s="20"/>
      <c r="K130" s="20"/>
    </row>
    <row r="131" spans="1:11">
      <c r="A131" s="20"/>
      <c r="B131" s="39"/>
      <c r="C131" s="8" t="s">
        <v>0</v>
      </c>
      <c r="D131" s="8">
        <v>0.85419999999999996</v>
      </c>
      <c r="E131" s="8">
        <v>0.89129999999999998</v>
      </c>
      <c r="F131" s="8">
        <v>0.87229999999999996</v>
      </c>
      <c r="G131" s="8">
        <v>46</v>
      </c>
      <c r="I131" s="20"/>
      <c r="J131" s="20"/>
      <c r="K131" s="20"/>
    </row>
    <row r="132" spans="1:11">
      <c r="A132" s="20"/>
      <c r="B132" s="39"/>
      <c r="C132" s="8" t="s">
        <v>40</v>
      </c>
      <c r="D132" s="8">
        <v>0.79249999999999998</v>
      </c>
      <c r="E132" s="8">
        <v>0.85709999999999997</v>
      </c>
      <c r="F132" s="8">
        <v>0.82350000000000001</v>
      </c>
      <c r="G132" s="8">
        <v>49</v>
      </c>
      <c r="I132" s="20"/>
      <c r="J132" s="20"/>
      <c r="K132" s="20"/>
    </row>
    <row r="133" spans="1:11">
      <c r="A133" s="20"/>
      <c r="B133" s="39"/>
      <c r="C133" s="8"/>
      <c r="D133" s="8"/>
      <c r="E133" s="8"/>
      <c r="F133" s="8"/>
      <c r="G133" s="8"/>
      <c r="I133" s="20"/>
      <c r="J133" s="20"/>
      <c r="K133" s="20"/>
    </row>
    <row r="134" spans="1:11">
      <c r="A134" s="20"/>
      <c r="B134" s="39"/>
      <c r="C134" s="8" t="s">
        <v>17</v>
      </c>
      <c r="D134" s="8"/>
      <c r="E134" s="8"/>
      <c r="F134" s="9">
        <v>0.92159999999999997</v>
      </c>
      <c r="G134" s="8">
        <v>459</v>
      </c>
    </row>
    <row r="135" spans="1:11">
      <c r="A135" s="20"/>
      <c r="B135" s="39"/>
      <c r="C135" s="8" t="s">
        <v>18</v>
      </c>
      <c r="D135" s="8">
        <v>0.92910000000000004</v>
      </c>
      <c r="E135" s="8">
        <v>0.92320000000000002</v>
      </c>
      <c r="F135" s="8">
        <v>0.9224</v>
      </c>
      <c r="G135" s="8">
        <v>459</v>
      </c>
    </row>
    <row r="136" spans="1:11">
      <c r="A136" s="20"/>
      <c r="B136" s="39"/>
      <c r="C136" s="8" t="s">
        <v>20</v>
      </c>
      <c r="D136" s="8">
        <v>0.92879999999999996</v>
      </c>
      <c r="E136" s="8">
        <v>0.92159999999999997</v>
      </c>
      <c r="F136" s="8">
        <v>0.92149999999999999</v>
      </c>
      <c r="G136" s="8">
        <v>459</v>
      </c>
    </row>
    <row r="137" spans="1:11">
      <c r="A137" s="20"/>
    </row>
    <row r="138" spans="1:11">
      <c r="A138" s="20"/>
      <c r="B138" s="39" t="s">
        <v>60</v>
      </c>
      <c r="C138" s="5"/>
      <c r="D138" s="5" t="s">
        <v>6</v>
      </c>
      <c r="E138" s="5" t="s">
        <v>7</v>
      </c>
      <c r="F138" s="5" t="s">
        <v>8</v>
      </c>
      <c r="G138" s="5" t="s">
        <v>9</v>
      </c>
      <c r="I138" s="20" t="s">
        <v>70</v>
      </c>
      <c r="J138" s="20"/>
      <c r="K138" s="20"/>
    </row>
    <row r="139" spans="1:11">
      <c r="A139" s="20"/>
      <c r="B139" s="39"/>
      <c r="C139" s="8" t="s">
        <v>34</v>
      </c>
      <c r="D139" s="8">
        <v>0.97140000000000004</v>
      </c>
      <c r="E139" s="8">
        <v>0.87180000000000002</v>
      </c>
      <c r="F139" s="8">
        <v>0.91890000000000005</v>
      </c>
      <c r="G139" s="8">
        <v>39</v>
      </c>
      <c r="I139" s="20"/>
      <c r="J139" s="20"/>
      <c r="K139" s="20"/>
    </row>
    <row r="140" spans="1:11">
      <c r="A140" s="20"/>
      <c r="B140" s="39"/>
      <c r="C140" s="8" t="s">
        <v>35</v>
      </c>
      <c r="D140" s="8">
        <v>0.8246</v>
      </c>
      <c r="E140" s="8">
        <v>0.97919999999999996</v>
      </c>
      <c r="F140" s="8">
        <v>0.8952</v>
      </c>
      <c r="G140" s="8">
        <v>48</v>
      </c>
      <c r="I140" s="20"/>
      <c r="J140" s="20"/>
      <c r="K140" s="20"/>
    </row>
    <row r="141" spans="1:11">
      <c r="A141" s="20"/>
      <c r="B141" s="39"/>
      <c r="C141" s="8" t="s">
        <v>36</v>
      </c>
      <c r="D141" s="8">
        <v>0.97670000000000001</v>
      </c>
      <c r="E141" s="8">
        <v>0.89359999999999995</v>
      </c>
      <c r="F141" s="8">
        <v>0.93330000000000002</v>
      </c>
      <c r="G141" s="8">
        <v>47</v>
      </c>
      <c r="I141" s="20"/>
      <c r="J141" s="20"/>
      <c r="K141" s="20"/>
    </row>
    <row r="142" spans="1:11">
      <c r="A142" s="20"/>
      <c r="B142" s="39"/>
      <c r="C142" s="8" t="s">
        <v>37</v>
      </c>
      <c r="D142" s="8">
        <v>0.95920000000000005</v>
      </c>
      <c r="E142" s="8">
        <v>1</v>
      </c>
      <c r="F142" s="8">
        <v>0.97919999999999996</v>
      </c>
      <c r="G142" s="8">
        <v>47</v>
      </c>
      <c r="I142" s="20"/>
      <c r="J142" s="20"/>
      <c r="K142" s="20"/>
    </row>
    <row r="143" spans="1:11">
      <c r="A143" s="20"/>
      <c r="B143" s="39"/>
      <c r="C143" s="8" t="s">
        <v>38</v>
      </c>
      <c r="D143" s="8">
        <v>0.94740000000000002</v>
      </c>
      <c r="E143" s="8">
        <v>0.81820000000000004</v>
      </c>
      <c r="F143" s="8">
        <v>0.878</v>
      </c>
      <c r="G143" s="8">
        <v>44</v>
      </c>
      <c r="I143" s="20"/>
      <c r="J143" s="20"/>
      <c r="K143" s="20"/>
    </row>
    <row r="144" spans="1:11">
      <c r="A144" s="20"/>
      <c r="B144" s="39"/>
      <c r="C144" s="8" t="s">
        <v>1</v>
      </c>
      <c r="D144" s="8">
        <v>0.83330000000000004</v>
      </c>
      <c r="E144" s="8">
        <v>0.90910000000000002</v>
      </c>
      <c r="F144" s="8">
        <v>0.86960000000000004</v>
      </c>
      <c r="G144" s="8">
        <v>44</v>
      </c>
      <c r="I144" s="20"/>
      <c r="J144" s="20"/>
      <c r="K144" s="20"/>
    </row>
    <row r="145" spans="1:11">
      <c r="A145" s="20"/>
      <c r="B145" s="39"/>
      <c r="C145" s="8" t="s">
        <v>39</v>
      </c>
      <c r="D145" s="8">
        <v>0.83779999999999999</v>
      </c>
      <c r="E145" s="8">
        <v>0.83779999999999999</v>
      </c>
      <c r="F145" s="8">
        <v>0.83779999999999999</v>
      </c>
      <c r="G145" s="8">
        <v>37</v>
      </c>
      <c r="I145" s="20"/>
      <c r="J145" s="20"/>
      <c r="K145" s="20"/>
    </row>
    <row r="146" spans="1:11">
      <c r="A146" s="20"/>
      <c r="B146" s="39"/>
      <c r="C146" s="8" t="s">
        <v>2</v>
      </c>
      <c r="D146" s="8">
        <v>0.95650000000000002</v>
      </c>
      <c r="E146" s="8">
        <v>0.93620000000000003</v>
      </c>
      <c r="F146" s="8">
        <v>0.94620000000000004</v>
      </c>
      <c r="G146" s="8">
        <v>47</v>
      </c>
      <c r="I146" s="20"/>
      <c r="J146" s="20"/>
      <c r="K146" s="20"/>
    </row>
    <row r="147" spans="1:11">
      <c r="A147" s="20"/>
      <c r="B147" s="39"/>
      <c r="C147" s="8" t="s">
        <v>0</v>
      </c>
      <c r="D147" s="8">
        <v>0.875</v>
      </c>
      <c r="E147" s="8">
        <v>0.875</v>
      </c>
      <c r="F147" s="8">
        <v>0.875</v>
      </c>
      <c r="G147" s="8">
        <v>48</v>
      </c>
      <c r="I147" s="20"/>
      <c r="J147" s="20"/>
      <c r="K147" s="20"/>
    </row>
    <row r="148" spans="1:11">
      <c r="A148" s="20"/>
      <c r="B148" s="39"/>
      <c r="C148" s="8" t="s">
        <v>40</v>
      </c>
      <c r="D148" s="8">
        <v>0.89800000000000002</v>
      </c>
      <c r="E148" s="8">
        <v>0.89800000000000002</v>
      </c>
      <c r="F148" s="8">
        <v>0.89800000000000002</v>
      </c>
      <c r="G148" s="8">
        <v>49</v>
      </c>
      <c r="I148" s="20"/>
      <c r="J148" s="20"/>
      <c r="K148" s="20"/>
    </row>
    <row r="149" spans="1:11">
      <c r="A149" s="20"/>
      <c r="B149" s="39"/>
      <c r="C149" s="8"/>
      <c r="D149" s="8"/>
      <c r="E149" s="8"/>
      <c r="F149" s="8"/>
      <c r="G149" s="8"/>
      <c r="I149" s="20"/>
      <c r="J149" s="20"/>
      <c r="K149" s="20"/>
    </row>
    <row r="150" spans="1:11">
      <c r="A150" s="20"/>
      <c r="B150" s="39"/>
      <c r="C150" s="8" t="s">
        <v>17</v>
      </c>
      <c r="D150" s="8"/>
      <c r="E150" s="8"/>
      <c r="F150" s="9">
        <v>0.90439999999999998</v>
      </c>
      <c r="G150" s="8">
        <v>450</v>
      </c>
    </row>
    <row r="151" spans="1:11">
      <c r="A151" s="20"/>
      <c r="B151" s="39"/>
      <c r="C151" s="8" t="s">
        <v>18</v>
      </c>
      <c r="D151" s="8">
        <v>0.90800000000000003</v>
      </c>
      <c r="E151" s="8">
        <v>0.90190000000000003</v>
      </c>
      <c r="F151" s="8">
        <v>0.90310000000000001</v>
      </c>
      <c r="G151" s="8">
        <v>450</v>
      </c>
    </row>
    <row r="152" spans="1:11">
      <c r="A152" s="20"/>
      <c r="B152" s="39"/>
      <c r="C152" s="8" t="s">
        <v>20</v>
      </c>
      <c r="D152" s="8">
        <v>0.90839999999999999</v>
      </c>
      <c r="E152" s="8">
        <v>0.90439999999999998</v>
      </c>
      <c r="F152" s="8">
        <v>0.90459999999999996</v>
      </c>
      <c r="G152" s="8">
        <v>450</v>
      </c>
    </row>
  </sheetData>
  <mergeCells count="33">
    <mergeCell ref="I90:K101"/>
    <mergeCell ref="I106:K117"/>
    <mergeCell ref="I122:K133"/>
    <mergeCell ref="I138:K149"/>
    <mergeCell ref="B2:B6"/>
    <mergeCell ref="C3:C5"/>
    <mergeCell ref="B8:B20"/>
    <mergeCell ref="B22:B31"/>
    <mergeCell ref="B106:B120"/>
    <mergeCell ref="B122:B136"/>
    <mergeCell ref="B138:B152"/>
    <mergeCell ref="C29:C31"/>
    <mergeCell ref="C34:C36"/>
    <mergeCell ref="C37:C39"/>
    <mergeCell ref="A90:A152"/>
    <mergeCell ref="B33:B48"/>
    <mergeCell ref="B90:B104"/>
    <mergeCell ref="A2:A83"/>
    <mergeCell ref="B51:B53"/>
    <mergeCell ref="B55:B60"/>
    <mergeCell ref="B61:B66"/>
    <mergeCell ref="C68:G83"/>
    <mergeCell ref="B68:B83"/>
    <mergeCell ref="C40:C42"/>
    <mergeCell ref="C43:C45"/>
    <mergeCell ref="C46:C48"/>
    <mergeCell ref="C51:C53"/>
    <mergeCell ref="C9:C11"/>
    <mergeCell ref="C12:C14"/>
    <mergeCell ref="C15:C17"/>
    <mergeCell ref="C18:C20"/>
    <mergeCell ref="C23:C25"/>
    <mergeCell ref="C26:C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Fengliang</dc:creator>
  <cp:lastModifiedBy>admin1</cp:lastModifiedBy>
  <dcterms:created xsi:type="dcterms:W3CDTF">2015-06-05T18:17:20Z</dcterms:created>
  <dcterms:modified xsi:type="dcterms:W3CDTF">2026-02-10T04:12:52Z</dcterms:modified>
</cp:coreProperties>
</file>